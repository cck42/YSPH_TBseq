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drawings/drawing1.xml" ContentType="application/vnd.openxmlformats-officedocument.drawing+xml"/>
  <Override PartName="/xl/comments3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28"/>
  <workbookPr/>
  <mc:AlternateContent xmlns:mc="http://schemas.openxmlformats.org/markup-compatibility/2006">
    <mc:Choice Requires="x15">
      <x15ac:absPath xmlns:x15ac="http://schemas.microsoft.com/office/spreadsheetml/2010/11/ac" url="/Users/chaneykalinich/Documents/PGCoE/github/pgcoe_pipeline/figures/4_heatmap/data/"/>
    </mc:Choice>
  </mc:AlternateContent>
  <xr:revisionPtr revIDLastSave="0" documentId="13_ncr:1_{B43C9A32-A3C9-D046-920F-1F1727E6B36B}" xr6:coauthVersionLast="47" xr6:coauthVersionMax="47" xr10:uidLastSave="{00000000-0000-0000-0000-000000000000}"/>
  <bookViews>
    <workbookView xWindow="0" yWindow="500" windowWidth="38400" windowHeight="20000" xr2:uid="{00000000-000D-0000-FFFF-FFFF00000000}"/>
  </bookViews>
  <sheets>
    <sheet name="All samples" sheetId="2" r:id="rId1"/>
    <sheet name="Resistance" sheetId="3" r:id="rId2"/>
    <sheet name="Batch 1" sheetId="1" r:id="rId3"/>
  </sheets>
  <definedNames>
    <definedName name="_xlnm._FilterDatabase" localSheetId="0" hidden="1">'All samples'!$A$1:$AL$61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T41" i="2" l="1"/>
  <c r="S41" i="2"/>
  <c r="T40" i="2"/>
  <c r="S40" i="2"/>
  <c r="T39" i="2"/>
  <c r="S39" i="2"/>
  <c r="T38" i="2"/>
  <c r="S38" i="2"/>
  <c r="T37" i="2"/>
  <c r="S37" i="2"/>
  <c r="T36" i="2"/>
  <c r="S36" i="2"/>
  <c r="U35" i="2"/>
  <c r="V35" i="2" s="1"/>
  <c r="W35" i="2" s="1"/>
  <c r="U34" i="2"/>
  <c r="V34" i="2" s="1"/>
  <c r="W34" i="2" s="1"/>
  <c r="T33" i="2"/>
  <c r="S33" i="2"/>
  <c r="T32" i="2"/>
  <c r="S32" i="2"/>
  <c r="T31" i="2"/>
  <c r="S31" i="2"/>
  <c r="T30" i="2"/>
  <c r="S30" i="2"/>
  <c r="T29" i="2"/>
  <c r="S29" i="2"/>
  <c r="U28" i="2"/>
  <c r="V28" i="2" s="1"/>
  <c r="W28" i="2" s="1"/>
  <c r="T27" i="2"/>
  <c r="S27" i="2"/>
  <c r="T26" i="2"/>
  <c r="S26" i="2"/>
  <c r="T25" i="2"/>
  <c r="S25" i="2"/>
  <c r="T24" i="2"/>
  <c r="S24" i="2"/>
  <c r="T23" i="2"/>
  <c r="S23" i="2"/>
  <c r="U22" i="2"/>
  <c r="V22" i="2" s="1"/>
  <c r="W22" i="2" s="1"/>
  <c r="T21" i="2"/>
  <c r="S21" i="2"/>
  <c r="U20" i="2"/>
  <c r="V20" i="2" s="1"/>
  <c r="W20" i="2" s="1"/>
  <c r="U19" i="2"/>
  <c r="V19" i="2" s="1"/>
  <c r="W19" i="2" s="1"/>
  <c r="T18" i="2"/>
  <c r="S18" i="2"/>
  <c r="T17" i="2"/>
  <c r="S17" i="2"/>
  <c r="T16" i="2"/>
  <c r="S16" i="2"/>
  <c r="U15" i="2"/>
  <c r="V15" i="2" s="1"/>
  <c r="W15" i="2" s="1"/>
  <c r="T14" i="2"/>
  <c r="S14" i="2"/>
  <c r="U13" i="2"/>
  <c r="V13" i="2" s="1"/>
  <c r="W13" i="2" s="1"/>
  <c r="U12" i="2"/>
  <c r="V12" i="2" s="1"/>
  <c r="W12" i="2" s="1"/>
  <c r="T11" i="2"/>
  <c r="S11" i="2"/>
  <c r="U10" i="2"/>
  <c r="V10" i="2" s="1"/>
  <c r="W10" i="2" s="1"/>
  <c r="U9" i="2"/>
  <c r="V9" i="2" s="1"/>
  <c r="W9" i="2" s="1"/>
  <c r="T8" i="2"/>
  <c r="S8" i="2"/>
  <c r="T7" i="2"/>
  <c r="S7" i="2"/>
  <c r="T6" i="2"/>
  <c r="S6" i="2"/>
  <c r="T5" i="2"/>
  <c r="S5" i="2"/>
  <c r="T4" i="2"/>
  <c r="S4" i="2"/>
  <c r="U3" i="2"/>
  <c r="V3" i="2" s="1"/>
  <c r="W3" i="2" s="1"/>
  <c r="U2" i="2"/>
  <c r="V2" i="2" s="1"/>
  <c r="W2" i="2" s="1"/>
  <c r="Q5" i="1"/>
  <c r="R5" i="1" s="1"/>
  <c r="S5" i="1" s="1"/>
  <c r="Q4" i="1"/>
  <c r="R4" i="1" s="1"/>
  <c r="S4" i="1" s="1"/>
  <c r="P43" i="1"/>
  <c r="O43" i="1"/>
  <c r="Q43" i="1" s="1"/>
  <c r="R43" i="1" s="1"/>
  <c r="S43" i="1" s="1"/>
  <c r="P42" i="1"/>
  <c r="O42" i="1"/>
  <c r="P41" i="1"/>
  <c r="O41" i="1"/>
  <c r="P40" i="1"/>
  <c r="O40" i="1"/>
  <c r="P39" i="1"/>
  <c r="O39" i="1"/>
  <c r="P38" i="1"/>
  <c r="O38" i="1"/>
  <c r="Q37" i="1"/>
  <c r="R37" i="1" s="1"/>
  <c r="S37" i="1" s="1"/>
  <c r="Q36" i="1"/>
  <c r="R36" i="1" s="1"/>
  <c r="S36" i="1" s="1"/>
  <c r="Q35" i="1"/>
  <c r="R35" i="1" s="1"/>
  <c r="S35" i="1" s="1"/>
  <c r="P35" i="1"/>
  <c r="O35" i="1"/>
  <c r="Q34" i="1"/>
  <c r="R34" i="1" s="1"/>
  <c r="S34" i="1" s="1"/>
  <c r="P34" i="1"/>
  <c r="O34" i="1"/>
  <c r="P33" i="1"/>
  <c r="O33" i="1"/>
  <c r="P32" i="1"/>
  <c r="O32" i="1"/>
  <c r="P31" i="1"/>
  <c r="O31" i="1"/>
  <c r="Q31" i="1" s="1"/>
  <c r="R31" i="1" s="1"/>
  <c r="S31" i="1" s="1"/>
  <c r="Q30" i="1"/>
  <c r="R30" i="1" s="1"/>
  <c r="S30" i="1" s="1"/>
  <c r="P29" i="1"/>
  <c r="O29" i="1"/>
  <c r="Q29" i="1" s="1"/>
  <c r="R29" i="1" s="1"/>
  <c r="S29" i="1" s="1"/>
  <c r="P28" i="1"/>
  <c r="O28" i="1"/>
  <c r="P27" i="1"/>
  <c r="O27" i="1"/>
  <c r="Q27" i="1" s="1"/>
  <c r="R27" i="1" s="1"/>
  <c r="S27" i="1" s="1"/>
  <c r="P26" i="1"/>
  <c r="O26" i="1"/>
  <c r="P25" i="1"/>
  <c r="O25" i="1"/>
  <c r="Q24" i="1"/>
  <c r="R24" i="1" s="1"/>
  <c r="S24" i="1" s="1"/>
  <c r="P23" i="1"/>
  <c r="O23" i="1"/>
  <c r="Q22" i="1"/>
  <c r="R22" i="1" s="1"/>
  <c r="S22" i="1" s="1"/>
  <c r="Q21" i="1"/>
  <c r="R21" i="1" s="1"/>
  <c r="S21" i="1" s="1"/>
  <c r="P20" i="1"/>
  <c r="O20" i="1"/>
  <c r="P19" i="1"/>
  <c r="O19" i="1"/>
  <c r="P18" i="1"/>
  <c r="O18" i="1"/>
  <c r="Q18" i="1" s="1"/>
  <c r="R18" i="1" s="1"/>
  <c r="S18" i="1" s="1"/>
  <c r="Q17" i="1"/>
  <c r="R17" i="1" s="1"/>
  <c r="S17" i="1" s="1"/>
  <c r="P16" i="1"/>
  <c r="O16" i="1"/>
  <c r="Q15" i="1"/>
  <c r="R15" i="1" s="1"/>
  <c r="S15" i="1" s="1"/>
  <c r="Q14" i="1"/>
  <c r="R14" i="1" s="1"/>
  <c r="S14" i="1" s="1"/>
  <c r="P13" i="1"/>
  <c r="O13" i="1"/>
  <c r="Q12" i="1"/>
  <c r="R12" i="1" s="1"/>
  <c r="S12" i="1" s="1"/>
  <c r="Q11" i="1"/>
  <c r="R11" i="1" s="1"/>
  <c r="S11" i="1" s="1"/>
  <c r="P10" i="1"/>
  <c r="O10" i="1"/>
  <c r="P9" i="1"/>
  <c r="O9" i="1"/>
  <c r="P8" i="1"/>
  <c r="O8" i="1"/>
  <c r="P7" i="1"/>
  <c r="O7" i="1"/>
  <c r="P6" i="1"/>
  <c r="O6" i="1"/>
  <c r="U37" i="2" l="1"/>
  <c r="V37" i="2" s="1"/>
  <c r="W37" i="2" s="1"/>
  <c r="U41" i="2"/>
  <c r="V41" i="2" s="1"/>
  <c r="W41" i="2" s="1"/>
  <c r="U38" i="2"/>
  <c r="V38" i="2" s="1"/>
  <c r="W38" i="2" s="1"/>
  <c r="U31" i="2"/>
  <c r="V31" i="2" s="1"/>
  <c r="W31" i="2" s="1"/>
  <c r="U11" i="2"/>
  <c r="V11" i="2" s="1"/>
  <c r="W11" i="2" s="1"/>
  <c r="U16" i="2"/>
  <c r="V16" i="2" s="1"/>
  <c r="W16" i="2" s="1"/>
  <c r="U40" i="2"/>
  <c r="V40" i="2" s="1"/>
  <c r="W40" i="2" s="1"/>
  <c r="U4" i="2"/>
  <c r="V4" i="2" s="1"/>
  <c r="W4" i="2" s="1"/>
  <c r="U27" i="2"/>
  <c r="V27" i="2" s="1"/>
  <c r="W27" i="2" s="1"/>
  <c r="U17" i="2"/>
  <c r="V17" i="2" s="1"/>
  <c r="W17" i="2" s="1"/>
  <c r="U26" i="2"/>
  <c r="V26" i="2" s="1"/>
  <c r="W26" i="2" s="1"/>
  <c r="U39" i="2"/>
  <c r="V39" i="2" s="1"/>
  <c r="W39" i="2" s="1"/>
  <c r="U5" i="2"/>
  <c r="V5" i="2" s="1"/>
  <c r="W5" i="2" s="1"/>
  <c r="U30" i="2"/>
  <c r="V30" i="2" s="1"/>
  <c r="W30" i="2" s="1"/>
  <c r="U6" i="2"/>
  <c r="V6" i="2" s="1"/>
  <c r="W6" i="2" s="1"/>
  <c r="U32" i="2"/>
  <c r="V32" i="2" s="1"/>
  <c r="W32" i="2" s="1"/>
  <c r="U7" i="2"/>
  <c r="V7" i="2" s="1"/>
  <c r="W7" i="2" s="1"/>
  <c r="U21" i="2"/>
  <c r="V21" i="2" s="1"/>
  <c r="W21" i="2" s="1"/>
  <c r="U25" i="2"/>
  <c r="V25" i="2" s="1"/>
  <c r="W25" i="2" s="1"/>
  <c r="U29" i="2"/>
  <c r="V29" i="2" s="1"/>
  <c r="W29" i="2" s="1"/>
  <c r="U33" i="2"/>
  <c r="V33" i="2" s="1"/>
  <c r="W33" i="2" s="1"/>
  <c r="U8" i="2"/>
  <c r="V8" i="2" s="1"/>
  <c r="W8" i="2" s="1"/>
  <c r="U14" i="2"/>
  <c r="V14" i="2" s="1"/>
  <c r="W14" i="2" s="1"/>
  <c r="U18" i="2"/>
  <c r="V18" i="2" s="1"/>
  <c r="W18" i="2" s="1"/>
  <c r="U23" i="2"/>
  <c r="V23" i="2" s="1"/>
  <c r="W23" i="2" s="1"/>
  <c r="U24" i="2"/>
  <c r="V24" i="2" s="1"/>
  <c r="W24" i="2" s="1"/>
  <c r="U36" i="2"/>
  <c r="V36" i="2" s="1"/>
  <c r="W36" i="2" s="1"/>
  <c r="Q8" i="1"/>
  <c r="R8" i="1" s="1"/>
  <c r="S8" i="1" s="1"/>
  <c r="Q33" i="1"/>
  <c r="R33" i="1" s="1"/>
  <c r="S33" i="1" s="1"/>
  <c r="Q41" i="1"/>
  <c r="R41" i="1" s="1"/>
  <c r="S41" i="1" s="1"/>
  <c r="Q10" i="1"/>
  <c r="R10" i="1" s="1"/>
  <c r="S10" i="1" s="1"/>
  <c r="Q16" i="1"/>
  <c r="R16" i="1" s="1"/>
  <c r="S16" i="1" s="1"/>
  <c r="Q26" i="1"/>
  <c r="R26" i="1" s="1"/>
  <c r="S26" i="1" s="1"/>
  <c r="Q7" i="1"/>
  <c r="R7" i="1" s="1"/>
  <c r="S7" i="1" s="1"/>
  <c r="Q20" i="1"/>
  <c r="R20" i="1" s="1"/>
  <c r="S20" i="1" s="1"/>
  <c r="Q19" i="1"/>
  <c r="R19" i="1" s="1"/>
  <c r="S19" i="1" s="1"/>
  <c r="Q42" i="1"/>
  <c r="R42" i="1" s="1"/>
  <c r="S42" i="1" s="1"/>
  <c r="Q6" i="1"/>
  <c r="R6" i="1" s="1"/>
  <c r="S6" i="1" s="1"/>
  <c r="Q9" i="1"/>
  <c r="R9" i="1" s="1"/>
  <c r="S9" i="1" s="1"/>
  <c r="Q23" i="1"/>
  <c r="R23" i="1" s="1"/>
  <c r="S23" i="1" s="1"/>
  <c r="Q38" i="1"/>
  <c r="R38" i="1" s="1"/>
  <c r="S38" i="1" s="1"/>
  <c r="Q28" i="1"/>
  <c r="R28" i="1" s="1"/>
  <c r="S28" i="1" s="1"/>
  <c r="Q32" i="1"/>
  <c r="R32" i="1" s="1"/>
  <c r="S32" i="1" s="1"/>
  <c r="Q39" i="1"/>
  <c r="R39" i="1" s="1"/>
  <c r="S39" i="1" s="1"/>
  <c r="Q25" i="1"/>
  <c r="R25" i="1" s="1"/>
  <c r="S25" i="1" s="1"/>
  <c r="Q40" i="1"/>
  <c r="R40" i="1" s="1"/>
  <c r="S40" i="1" s="1"/>
  <c r="Q13" i="1"/>
  <c r="R13" i="1" s="1"/>
  <c r="S13" i="1" s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/>
  </authors>
  <commentList>
    <comment ref="P1" authorId="0" shapeId="0" xr:uid="{C35B8260-282C-D941-B270-0A17F79D277B}">
      <text>
        <r>
          <rPr>
            <sz val="10"/>
            <color rgb="FF000000"/>
            <rFont val="Arial"/>
            <family val="2"/>
            <scheme val="minor"/>
          </rPr>
          <t>High, medium,low,not detected</t>
        </r>
      </text>
    </comment>
    <comment ref="U21" authorId="0" shapeId="0" xr:uid="{B99E149F-6745-1342-9529-68CEE83FC34A}">
      <text>
        <r>
          <rPr>
            <sz val="10"/>
            <color rgb="FF000000"/>
            <rFont val="Arial"/>
            <family val="2"/>
            <scheme val="minor"/>
          </rPr>
          <t>no se le colocó fenol
	-Candy Lizbeth Leon Palomino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/>
  </authors>
  <commentList>
    <comment ref="C1" authorId="0" shapeId="0" xr:uid="{70391BE1-CE17-443E-85D5-62A32D27CA5E}">
      <text>
        <r>
          <rPr>
            <sz val="10"/>
            <color rgb="FF000000"/>
            <rFont val="Arial"/>
            <family val="2"/>
            <scheme val="minor"/>
          </rPr>
          <t>High, medium,low,not detected</t>
        </r>
      </text>
    </comment>
  </commentLi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/>
  </authors>
  <commentList>
    <comment ref="L3" authorId="0" shapeId="0" xr:uid="{00000000-0006-0000-0000-000001000000}">
      <text>
        <r>
          <rPr>
            <sz val="10"/>
            <color rgb="FF000000"/>
            <rFont val="Arial"/>
            <family val="2"/>
            <scheme val="minor"/>
          </rPr>
          <t>High, medium,low,not detected</t>
        </r>
      </text>
    </comment>
    <comment ref="Q23" authorId="0" shapeId="0" xr:uid="{00000000-0006-0000-0000-000002000000}">
      <text>
        <r>
          <rPr>
            <sz val="10"/>
            <color rgb="FF000000"/>
            <rFont val="Arial"/>
            <family val="2"/>
            <scheme val="minor"/>
          </rPr>
          <t>no se le colocó fenol
	-Candy Lizbeth Leon Palomino</t>
        </r>
      </text>
    </comment>
  </commentList>
</comments>
</file>

<file path=xl/sharedStrings.xml><?xml version="1.0" encoding="utf-8"?>
<sst xmlns="http://schemas.openxmlformats.org/spreadsheetml/2006/main" count="1553" uniqueCount="392">
  <si>
    <t>Lab details</t>
  </si>
  <si>
    <t>Qubit ng/ul</t>
  </si>
  <si>
    <t>Nanodrop</t>
  </si>
  <si>
    <t>Tapestation</t>
  </si>
  <si>
    <t>item</t>
  </si>
  <si>
    <t># sample</t>
  </si>
  <si>
    <t>Well</t>
  </si>
  <si>
    <t>Extraction Date</t>
  </si>
  <si>
    <t>Inactivation</t>
  </si>
  <si>
    <t>Treatment - 
Liquefaction</t>
  </si>
  <si>
    <t>Host /microbial depletion</t>
  </si>
  <si>
    <t>Elution volume (ul)</t>
  </si>
  <si>
    <t>Vol to Yale (ul)</t>
  </si>
  <si>
    <t>Sputum BK</t>
  </si>
  <si>
    <t>GenXpert YES/NO</t>
  </si>
  <si>
    <t>MTB detected</t>
  </si>
  <si>
    <t>RIF resistance detected</t>
  </si>
  <si>
    <t>Código</t>
  </si>
  <si>
    <t>Measure 1</t>
  </si>
  <si>
    <t>Measure 2</t>
  </si>
  <si>
    <t>Qubit Mean conc.  (ng/ul)</t>
  </si>
  <si>
    <t>Total quantity (ng)</t>
  </si>
  <si>
    <t>Total quantity (ug)</t>
  </si>
  <si>
    <t>260/280</t>
  </si>
  <si>
    <t>260/230</t>
  </si>
  <si>
    <t xml:space="preserve">DNA integrity (DIN) </t>
  </si>
  <si>
    <t>A1</t>
  </si>
  <si>
    <t>95°C x 20 mins</t>
  </si>
  <si>
    <t>Saponin</t>
  </si>
  <si>
    <t>-</t>
  </si>
  <si>
    <t>3 BAAR</t>
  </si>
  <si>
    <t>YES</t>
  </si>
  <si>
    <t>Not detected</t>
  </si>
  <si>
    <t>B1</t>
  </si>
  <si>
    <t>1+</t>
  </si>
  <si>
    <t>NO</t>
  </si>
  <si>
    <t>C1</t>
  </si>
  <si>
    <t>D1</t>
  </si>
  <si>
    <t>2+</t>
  </si>
  <si>
    <t>E1</t>
  </si>
  <si>
    <t>HIGH</t>
  </si>
  <si>
    <t>F1</t>
  </si>
  <si>
    <t>G1</t>
  </si>
  <si>
    <t>3+</t>
  </si>
  <si>
    <t>H1</t>
  </si>
  <si>
    <t>A3</t>
  </si>
  <si>
    <t>B3</t>
  </si>
  <si>
    <t>C3</t>
  </si>
  <si>
    <t>NALC 0.5%</t>
  </si>
  <si>
    <t>D3</t>
  </si>
  <si>
    <t>E3</t>
  </si>
  <si>
    <t>F3</t>
  </si>
  <si>
    <t>G3</t>
  </si>
  <si>
    <t>H3</t>
  </si>
  <si>
    <t>A5</t>
  </si>
  <si>
    <t>B5</t>
  </si>
  <si>
    <t>C5</t>
  </si>
  <si>
    <t>D5</t>
  </si>
  <si>
    <t>E5</t>
  </si>
  <si>
    <t>phenol</t>
  </si>
  <si>
    <t>NALC 1%</t>
  </si>
  <si>
    <t>Detected</t>
  </si>
  <si>
    <t>5918a</t>
  </si>
  <si>
    <t>not measured</t>
  </si>
  <si>
    <t>F5</t>
  </si>
  <si>
    <t>5868a</t>
  </si>
  <si>
    <t>G5</t>
  </si>
  <si>
    <t>5864a</t>
  </si>
  <si>
    <t>H5</t>
  </si>
  <si>
    <t>5834a</t>
  </si>
  <si>
    <t>A7</t>
  </si>
  <si>
    <t>5822a</t>
  </si>
  <si>
    <t>B7</t>
  </si>
  <si>
    <t>C7</t>
  </si>
  <si>
    <t>LOW</t>
  </si>
  <si>
    <t>D7</t>
  </si>
  <si>
    <t>E7</t>
  </si>
  <si>
    <t>F7</t>
  </si>
  <si>
    <t>3 baar</t>
  </si>
  <si>
    <t>G7</t>
  </si>
  <si>
    <t>NALC 2%</t>
  </si>
  <si>
    <t>H7</t>
  </si>
  <si>
    <t>A9</t>
  </si>
  <si>
    <t>B9</t>
  </si>
  <si>
    <t>C9</t>
  </si>
  <si>
    <t>D9</t>
  </si>
  <si>
    <t>E9</t>
  </si>
  <si>
    <t>F9</t>
  </si>
  <si>
    <t>G9</t>
  </si>
  <si>
    <t>H9</t>
  </si>
  <si>
    <t>Ct</t>
  </si>
  <si>
    <t>1712/6972</t>
  </si>
  <si>
    <t>431/7576</t>
  </si>
  <si>
    <t>886/7426</t>
  </si>
  <si>
    <t>968/9057</t>
  </si>
  <si>
    <t>368/6659</t>
  </si>
  <si>
    <t>344/5848</t>
  </si>
  <si>
    <t>208/379/1206</t>
  </si>
  <si>
    <t>370/6056</t>
  </si>
  <si>
    <t>7358,0</t>
  </si>
  <si>
    <t>8234,0</t>
  </si>
  <si>
    <t>15459,0</t>
  </si>
  <si>
    <t>8868,0</t>
  </si>
  <si>
    <t>7852,0</t>
  </si>
  <si>
    <t>8084,0</t>
  </si>
  <si>
    <t>12385,0</t>
  </si>
  <si>
    <t>8839,0</t>
  </si>
  <si>
    <t>15,8</t>
  </si>
  <si>
    <t>15,80</t>
  </si>
  <si>
    <t>0,79</t>
  </si>
  <si>
    <t>7,47</t>
  </si>
  <si>
    <t>373,5</t>
  </si>
  <si>
    <t>0,37</t>
  </si>
  <si>
    <t>MEDIUM</t>
  </si>
  <si>
    <t>5,83</t>
  </si>
  <si>
    <t>291,5</t>
  </si>
  <si>
    <t>0,29</t>
  </si>
  <si>
    <t>2,75</t>
  </si>
  <si>
    <t>137,5</t>
  </si>
  <si>
    <t>0,14</t>
  </si>
  <si>
    <t>5,71</t>
  </si>
  <si>
    <t>285,5</t>
  </si>
  <si>
    <t>97,3</t>
  </si>
  <si>
    <t>97,30</t>
  </si>
  <si>
    <t>4,87</t>
  </si>
  <si>
    <t>8 baar</t>
  </si>
  <si>
    <t>2,25</t>
  </si>
  <si>
    <t>112,5</t>
  </si>
  <si>
    <t>0,11</t>
  </si>
  <si>
    <t>4,15</t>
  </si>
  <si>
    <t>207,5</t>
  </si>
  <si>
    <t>0,21</t>
  </si>
  <si>
    <t>10,5</t>
  </si>
  <si>
    <t>10,50</t>
  </si>
  <si>
    <t>0,53</t>
  </si>
  <si>
    <t>8,6</t>
  </si>
  <si>
    <t>8,60</t>
  </si>
  <si>
    <t>0,43</t>
  </si>
  <si>
    <t>19,1</t>
  </si>
  <si>
    <t>19,10</t>
  </si>
  <si>
    <t>0,96</t>
  </si>
  <si>
    <t>14,9</t>
  </si>
  <si>
    <t>14,90</t>
  </si>
  <si>
    <t>0,75</t>
  </si>
  <si>
    <t>8,27</t>
  </si>
  <si>
    <t>413,5</t>
  </si>
  <si>
    <t>0,41</t>
  </si>
  <si>
    <t>9,00</t>
  </si>
  <si>
    <t>0,45</t>
  </si>
  <si>
    <t>4,31</t>
  </si>
  <si>
    <t>215,5</t>
  </si>
  <si>
    <t>0,22</t>
  </si>
  <si>
    <t>8,53</t>
  </si>
  <si>
    <t>426,5</t>
  </si>
  <si>
    <t>3,22</t>
  </si>
  <si>
    <t>0,16</t>
  </si>
  <si>
    <t>3,02</t>
  </si>
  <si>
    <t>0,15</t>
  </si>
  <si>
    <t>12,8</t>
  </si>
  <si>
    <t>12,80</t>
  </si>
  <si>
    <t>0,64</t>
  </si>
  <si>
    <t>1,78</t>
  </si>
  <si>
    <t>1,69</t>
  </si>
  <si>
    <t>2,5</t>
  </si>
  <si>
    <t>1,62</t>
  </si>
  <si>
    <t>1,15</t>
  </si>
  <si>
    <t>3,4</t>
  </si>
  <si>
    <t>1,64</t>
  </si>
  <si>
    <t>0,94</t>
  </si>
  <si>
    <t>1,44</t>
  </si>
  <si>
    <t>1,32</t>
  </si>
  <si>
    <t>6,8</t>
  </si>
  <si>
    <t>1,74</t>
  </si>
  <si>
    <t>2,15</t>
  </si>
  <si>
    <t>1,92</t>
  </si>
  <si>
    <t>2,32</t>
  </si>
  <si>
    <t>2,04</t>
  </si>
  <si>
    <t>1,51</t>
  </si>
  <si>
    <t>1,48</t>
  </si>
  <si>
    <t>1,83</t>
  </si>
  <si>
    <t>2,18</t>
  </si>
  <si>
    <t>3,9</t>
  </si>
  <si>
    <t>1,89</t>
  </si>
  <si>
    <t>2,26</t>
  </si>
  <si>
    <t>1,71</t>
  </si>
  <si>
    <t>1,82</t>
  </si>
  <si>
    <t>3,1</t>
  </si>
  <si>
    <t>1,73</t>
  </si>
  <si>
    <t>5,0</t>
  </si>
  <si>
    <t>1,52</t>
  </si>
  <si>
    <t>1,41</t>
  </si>
  <si>
    <t>1,59</t>
  </si>
  <si>
    <t>1,7</t>
  </si>
  <si>
    <t>6,6</t>
  </si>
  <si>
    <t>1,66</t>
  </si>
  <si>
    <t>2,36</t>
  </si>
  <si>
    <t>1,9</t>
  </si>
  <si>
    <t>2,35</t>
  </si>
  <si>
    <t>1,61</t>
  </si>
  <si>
    <t>1,58</t>
  </si>
  <si>
    <t>1,8</t>
  </si>
  <si>
    <t>4,8</t>
  </si>
  <si>
    <t>1,43</t>
  </si>
  <si>
    <t>1,5</t>
  </si>
  <si>
    <t>tube</t>
  </si>
  <si>
    <t>numreads</t>
  </si>
  <si>
    <t>covbases</t>
  </si>
  <si>
    <t>coverage</t>
  </si>
  <si>
    <t>RESISTANCE</t>
  </si>
  <si>
    <t>LINEAGE</t>
  </si>
  <si>
    <t>Yale-TB160</t>
  </si>
  <si>
    <t>Yale-TB161</t>
  </si>
  <si>
    <t>Yale-TB162</t>
  </si>
  <si>
    <t>Yale-TB163</t>
  </si>
  <si>
    <t>Yale-TB164</t>
  </si>
  <si>
    <t>Yale-TB165</t>
  </si>
  <si>
    <t>Yale-TB166</t>
  </si>
  <si>
    <t>Yale-TB167</t>
  </si>
  <si>
    <t>Yale-TB168</t>
  </si>
  <si>
    <t>Yale-TB169</t>
  </si>
  <si>
    <t>Yale-TB170</t>
  </si>
  <si>
    <t>Yale-TB171</t>
  </si>
  <si>
    <t>Yale-TB172</t>
  </si>
  <si>
    <t>Yale-TB173</t>
  </si>
  <si>
    <t>Yale-TB174</t>
  </si>
  <si>
    <t>Yale-TB175</t>
  </si>
  <si>
    <t>Yale-TB176</t>
  </si>
  <si>
    <t>Yale-TB177</t>
  </si>
  <si>
    <t>Yale-TB178</t>
  </si>
  <si>
    <t>Yale-TB179</t>
  </si>
  <si>
    <t>lineage4.1.1;lineage4.10</t>
  </si>
  <si>
    <t>lineage4.3.2</t>
  </si>
  <si>
    <t>lineage4.1.2.1</t>
  </si>
  <si>
    <t>Streptomycin</t>
  </si>
  <si>
    <t>lineage4.1.1</t>
  </si>
  <si>
    <t>lineage4.10;lineage4.3</t>
  </si>
  <si>
    <t>lineage4.10</t>
  </si>
  <si>
    <t>Ethionamide, Isoniazid, Pyrazinamide, Rifampicin</t>
  </si>
  <si>
    <t>lineage4.3.3</t>
  </si>
  <si>
    <t>lineage4.1.2.1;lineage4.10</t>
  </si>
  <si>
    <t>lineage4</t>
  </si>
  <si>
    <t>lineage4.10;lineage4.3.2</t>
  </si>
  <si>
    <t>ID</t>
  </si>
  <si>
    <t>Peru-1</t>
  </si>
  <si>
    <t>Peru-2</t>
  </si>
  <si>
    <t>Peru-3</t>
  </si>
  <si>
    <t>Peru-4</t>
  </si>
  <si>
    <t>Peru-5</t>
  </si>
  <si>
    <t>Peru-6</t>
  </si>
  <si>
    <t>Peru-7</t>
  </si>
  <si>
    <t>Peru-8</t>
  </si>
  <si>
    <t>Peru-9</t>
  </si>
  <si>
    <t>Peru-10</t>
  </si>
  <si>
    <t>Peru-11</t>
  </si>
  <si>
    <t>Peru-12</t>
  </si>
  <si>
    <t>Peru-13</t>
  </si>
  <si>
    <t>Peru-14</t>
  </si>
  <si>
    <t>Peru-15</t>
  </si>
  <si>
    <t>Peru-16</t>
  </si>
  <si>
    <t>Peru-17</t>
  </si>
  <si>
    <t>Peru-18</t>
  </si>
  <si>
    <t>Peru-19</t>
  </si>
  <si>
    <t>Peru-20</t>
  </si>
  <si>
    <t>Peru-21</t>
  </si>
  <si>
    <t>Peru-22</t>
  </si>
  <si>
    <t>Peru-23</t>
  </si>
  <si>
    <t>Peru-24</t>
  </si>
  <si>
    <t>Peru-25</t>
  </si>
  <si>
    <t>Peru-26</t>
  </si>
  <si>
    <t>Peru-27</t>
  </si>
  <si>
    <t>Peru-28</t>
  </si>
  <si>
    <t>Peru-29</t>
  </si>
  <si>
    <t>Peru-30</t>
  </si>
  <si>
    <t>Peru-31</t>
  </si>
  <si>
    <t>Peru-32</t>
  </si>
  <si>
    <t>Peru-33</t>
  </si>
  <si>
    <t>Peru-34</t>
  </si>
  <si>
    <t>Peru-35</t>
  </si>
  <si>
    <t>Peru-36</t>
  </si>
  <si>
    <t>Peru-37</t>
  </si>
  <si>
    <t>Peru-38</t>
  </si>
  <si>
    <t>Peru-39</t>
  </si>
  <si>
    <t>Peru-40</t>
  </si>
  <si>
    <t>Peru-41</t>
  </si>
  <si>
    <t>Peru-42</t>
  </si>
  <si>
    <t>Peru-43</t>
  </si>
  <si>
    <t>Peru-44</t>
  </si>
  <si>
    <t>Peru-45</t>
  </si>
  <si>
    <t>Peru-46</t>
  </si>
  <si>
    <t>Peru-47</t>
  </si>
  <si>
    <t>Peru-48</t>
  </si>
  <si>
    <t>Peru-49</t>
  </si>
  <si>
    <t>Peru-50</t>
  </si>
  <si>
    <t>Peru-51</t>
  </si>
  <si>
    <t>Peru-52</t>
  </si>
  <si>
    <t>Peru-53</t>
  </si>
  <si>
    <t>Peru-54</t>
  </si>
  <si>
    <t>Peru-55</t>
  </si>
  <si>
    <t>Peru-56</t>
  </si>
  <si>
    <t>Peru-57</t>
  </si>
  <si>
    <t>Peru-58</t>
  </si>
  <si>
    <t>Peru-59</t>
  </si>
  <si>
    <t>Peru-60</t>
  </si>
  <si>
    <t>Yale-TB111</t>
  </si>
  <si>
    <t>Yale-TB112</t>
  </si>
  <si>
    <t>Yale-TB113</t>
  </si>
  <si>
    <t>Yale-TB114</t>
  </si>
  <si>
    <t>Yale-TB115</t>
  </si>
  <si>
    <t>Yale-TB116</t>
  </si>
  <si>
    <t>Yale-TB117</t>
  </si>
  <si>
    <t>Yale-TB118</t>
  </si>
  <si>
    <t>Yale-TB119</t>
  </si>
  <si>
    <t>Yale-TB120</t>
  </si>
  <si>
    <t>Yale-TB121</t>
  </si>
  <si>
    <t>Yale-TB122</t>
  </si>
  <si>
    <t>Yale-TB123</t>
  </si>
  <si>
    <t>Yale-TB124</t>
  </si>
  <si>
    <t>Yale-TB125</t>
  </si>
  <si>
    <t>Yale-TB126</t>
  </si>
  <si>
    <t>Yale-TB127</t>
  </si>
  <si>
    <t>Yale-TB128</t>
  </si>
  <si>
    <t>Yale-TB129</t>
  </si>
  <si>
    <t>Yale-TB130</t>
  </si>
  <si>
    <t>Yale-TB131</t>
  </si>
  <si>
    <t>Yale-TB132</t>
  </si>
  <si>
    <t>Yale-TB133</t>
  </si>
  <si>
    <t>Yale-TB134</t>
  </si>
  <si>
    <t>Yale-TB135</t>
  </si>
  <si>
    <t>Yale-TB136</t>
  </si>
  <si>
    <t>Yale-TB137</t>
  </si>
  <si>
    <t>Yale-TB138</t>
  </si>
  <si>
    <t>Yale-TB139</t>
  </si>
  <si>
    <t>Yale-TB140</t>
  </si>
  <si>
    <t>Yale-TB141</t>
  </si>
  <si>
    <t>Yale-TB142</t>
  </si>
  <si>
    <t>Yale-TB143</t>
  </si>
  <si>
    <t>Yale-TB144</t>
  </si>
  <si>
    <t>Yale-TB145</t>
  </si>
  <si>
    <t>Yale-TB146</t>
  </si>
  <si>
    <t>Yale-TB147</t>
  </si>
  <si>
    <t>Yale-TB148</t>
  </si>
  <si>
    <t>Yale-TB149</t>
  </si>
  <si>
    <t>Yale-TB150</t>
  </si>
  <si>
    <t>Yale ID</t>
  </si>
  <si>
    <t>meandepth</t>
  </si>
  <si>
    <t>meanbaseq</t>
  </si>
  <si>
    <t>meanmapq</t>
  </si>
  <si>
    <t>Rifampicin, Isoniazid, Ethambutol, Kanamycin, Amikacin, Capreomycin</t>
  </si>
  <si>
    <t>Rifampicin, Isoniazid, Ethaionamide, Pyrazinamide</t>
  </si>
  <si>
    <t>Isoniazid</t>
  </si>
  <si>
    <t>Rifampicin</t>
  </si>
  <si>
    <t>Unknown</t>
  </si>
  <si>
    <t>lineage4.1.2;lineage4.10</t>
  </si>
  <si>
    <t>lineage2.2;lineage4.1.1;lineage4.10</t>
  </si>
  <si>
    <t>lineage4.10;lineage4.3.3</t>
  </si>
  <si>
    <t>lineage2.2</t>
  </si>
  <si>
    <t>lineage4.1.2;lineage4.3.3</t>
  </si>
  <si>
    <t>NALC 0.5% - NaOH</t>
  </si>
  <si>
    <t>pt_sample_num</t>
  </si>
  <si>
    <t>Extraction_Date</t>
  </si>
  <si>
    <t>Heat_inactivation</t>
  </si>
  <si>
    <t>Chemical_inactivation</t>
  </si>
  <si>
    <t>liquefaction</t>
  </si>
  <si>
    <t>fastprep</t>
  </si>
  <si>
    <t>elution_vol</t>
  </si>
  <si>
    <t>vol_to_yale</t>
  </si>
  <si>
    <t>bk</t>
  </si>
  <si>
    <t>GenXpert_performed</t>
  </si>
  <si>
    <t>MTB_detected</t>
  </si>
  <si>
    <t>RIF_resistance_detected</t>
  </si>
  <si>
    <t>codigo</t>
  </si>
  <si>
    <t>qubit_1</t>
  </si>
  <si>
    <t>qubit_2</t>
  </si>
  <si>
    <t>qubit_mean</t>
  </si>
  <si>
    <t>total_quant_ng</t>
  </si>
  <si>
    <t>total_quant_ug</t>
  </si>
  <si>
    <t>DIN</t>
  </si>
  <si>
    <t>peaksize_bp</t>
  </si>
  <si>
    <t>Yale-ID</t>
  </si>
  <si>
    <t>starting_quant</t>
  </si>
  <si>
    <t>40s</t>
  </si>
  <si>
    <t>20s</t>
  </si>
  <si>
    <t>none</t>
  </si>
  <si>
    <t>A</t>
  </si>
  <si>
    <t>B</t>
  </si>
  <si>
    <t>C</t>
  </si>
  <si>
    <t>D</t>
  </si>
  <si>
    <t>E</t>
  </si>
  <si>
    <t>F</t>
  </si>
  <si>
    <t>batch</t>
  </si>
  <si>
    <t>extraction</t>
  </si>
  <si>
    <t>group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</si>
</sst>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dd/mm"/>
    <numFmt numFmtId="165" formatCode="0.0"/>
  </numFmts>
  <fonts count="10" x14ac:knownFonts="1">
    <font>
      <sz val="10"/>
      <color rgb="FF000000"/>
      <name val="Arial"/>
      <scheme val="minor"/>
    </font>
    <font>
      <b/>
      <sz val="10"/>
      <color theme="1"/>
      <name val="Arial"/>
      <family val="2"/>
    </font>
    <font>
      <sz val="10"/>
      <name val="Arial"/>
      <family val="2"/>
    </font>
    <font>
      <sz val="10"/>
      <color theme="1"/>
      <name val="Arial"/>
      <family val="2"/>
    </font>
    <font>
      <sz val="10"/>
      <color theme="1"/>
      <name val="Arial"/>
      <family val="2"/>
      <scheme val="minor"/>
    </font>
    <font>
      <sz val="10"/>
      <color rgb="FF000000"/>
      <name val="Arial"/>
      <family val="2"/>
    </font>
    <font>
      <b/>
      <sz val="10"/>
      <color rgb="FFFF0000"/>
      <name val="Arial"/>
      <family val="2"/>
    </font>
    <font>
      <sz val="10"/>
      <color rgb="FF000000"/>
      <name val="Arial"/>
      <family val="2"/>
      <scheme val="minor"/>
    </font>
    <font>
      <b/>
      <sz val="10"/>
      <color theme="1"/>
      <name val="Arial"/>
      <family val="2"/>
    </font>
    <font>
      <sz val="8"/>
      <name val="Arial"/>
      <family val="2"/>
      <scheme val="minor"/>
    </font>
  </fonts>
  <fills count="10">
    <fill>
      <patternFill patternType="none"/>
    </fill>
    <fill>
      <patternFill patternType="gray125"/>
    </fill>
    <fill>
      <patternFill patternType="solid">
        <fgColor rgb="FFB7B7B7"/>
        <bgColor rgb="FFB7B7B7"/>
      </patternFill>
    </fill>
    <fill>
      <patternFill patternType="solid">
        <fgColor rgb="FF9FC5E8"/>
        <bgColor rgb="FF9FC5E8"/>
      </patternFill>
    </fill>
    <fill>
      <patternFill patternType="solid">
        <fgColor rgb="FFD9EAD3"/>
        <bgColor rgb="FFD9EAD3"/>
      </patternFill>
    </fill>
    <fill>
      <patternFill patternType="solid">
        <fgColor rgb="FF3D85C6"/>
        <bgColor rgb="FF3D85C6"/>
      </patternFill>
    </fill>
    <fill>
      <patternFill patternType="solid">
        <fgColor rgb="FFFFE599"/>
        <bgColor rgb="FFFFE599"/>
      </patternFill>
    </fill>
    <fill>
      <patternFill patternType="solid">
        <fgColor rgb="FFF1C232"/>
        <bgColor rgb="FFF1C232"/>
      </patternFill>
    </fill>
    <fill>
      <patternFill patternType="solid">
        <fgColor theme="9" tint="0.79998168889431442"/>
        <bgColor rgb="FFB7B7B7"/>
      </patternFill>
    </fill>
    <fill>
      <patternFill patternType="solid">
        <fgColor theme="9" tint="0.79998168889431442"/>
        <bgColor indexed="64"/>
      </patternFill>
    </fill>
  </fills>
  <borders count="14"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64">
    <xf numFmtId="0" fontId="0" fillId="0" borderId="0" xfId="0"/>
    <xf numFmtId="0" fontId="1" fillId="0" borderId="0" xfId="0" applyFont="1"/>
    <xf numFmtId="0" fontId="1" fillId="0" borderId="0" xfId="0" applyFont="1" applyAlignment="1">
      <alignment horizontal="center"/>
    </xf>
    <xf numFmtId="0" fontId="1" fillId="2" borderId="3" xfId="0" applyFont="1" applyFill="1" applyBorder="1" applyAlignment="1">
      <alignment horizontal="center"/>
    </xf>
    <xf numFmtId="0" fontId="1" fillId="2" borderId="2" xfId="0" applyFont="1" applyFill="1" applyBorder="1" applyAlignment="1">
      <alignment horizontal="center"/>
    </xf>
    <xf numFmtId="0" fontId="1" fillId="2" borderId="0" xfId="0" applyFont="1" applyFill="1" applyAlignment="1">
      <alignment horizontal="center" wrapText="1"/>
    </xf>
    <xf numFmtId="0" fontId="1" fillId="2" borderId="4" xfId="0" applyFont="1" applyFill="1" applyBorder="1" applyAlignment="1">
      <alignment horizontal="center" wrapText="1"/>
    </xf>
    <xf numFmtId="0" fontId="1" fillId="2" borderId="5" xfId="0" applyFont="1" applyFill="1" applyBorder="1" applyAlignment="1">
      <alignment horizontal="center" wrapText="1"/>
    </xf>
    <xf numFmtId="0" fontId="1" fillId="0" borderId="6" xfId="0" applyFont="1" applyBorder="1" applyAlignment="1">
      <alignment horizontal="center"/>
    </xf>
    <xf numFmtId="0" fontId="1" fillId="0" borderId="7" xfId="0" applyFont="1" applyBorder="1" applyAlignment="1">
      <alignment horizontal="center"/>
    </xf>
    <xf numFmtId="164" fontId="1" fillId="0" borderId="7" xfId="0" applyNumberFormat="1" applyFont="1" applyBorder="1" applyAlignment="1">
      <alignment horizontal="center"/>
    </xf>
    <xf numFmtId="0" fontId="1" fillId="3" borderId="7" xfId="0" applyFont="1" applyFill="1" applyBorder="1" applyAlignment="1">
      <alignment horizontal="center"/>
    </xf>
    <xf numFmtId="0" fontId="3" fillId="0" borderId="7" xfId="0" applyFont="1" applyBorder="1" applyAlignment="1">
      <alignment horizontal="center"/>
    </xf>
    <xf numFmtId="2" fontId="3" fillId="0" borderId="7" xfId="0" applyNumberFormat="1" applyFont="1" applyBorder="1" applyAlignment="1">
      <alignment horizontal="right"/>
    </xf>
    <xf numFmtId="0" fontId="3" fillId="0" borderId="7" xfId="0" applyFont="1" applyBorder="1" applyAlignment="1">
      <alignment horizontal="right"/>
    </xf>
    <xf numFmtId="0" fontId="1" fillId="0" borderId="8" xfId="0" applyFont="1" applyBorder="1" applyAlignment="1">
      <alignment horizontal="center"/>
    </xf>
    <xf numFmtId="164" fontId="1" fillId="0" borderId="0" xfId="0" applyNumberFormat="1" applyFont="1" applyAlignment="1">
      <alignment horizontal="center"/>
    </xf>
    <xf numFmtId="0" fontId="1" fillId="3" borderId="0" xfId="0" applyFont="1" applyFill="1" applyAlignment="1">
      <alignment horizontal="center"/>
    </xf>
    <xf numFmtId="0" fontId="3" fillId="0" borderId="0" xfId="0" applyFont="1" applyAlignment="1">
      <alignment horizontal="center"/>
    </xf>
    <xf numFmtId="2" fontId="3" fillId="0" borderId="0" xfId="0" applyNumberFormat="1" applyFont="1" applyAlignment="1">
      <alignment horizontal="right"/>
    </xf>
    <xf numFmtId="0" fontId="3" fillId="0" borderId="0" xfId="0" applyFont="1" applyAlignment="1">
      <alignment horizontal="right"/>
    </xf>
    <xf numFmtId="0" fontId="1" fillId="0" borderId="9" xfId="0" applyFont="1" applyBorder="1" applyAlignment="1">
      <alignment horizontal="center"/>
    </xf>
    <xf numFmtId="0" fontId="1" fillId="0" borderId="10" xfId="0" applyFont="1" applyBorder="1" applyAlignment="1">
      <alignment horizontal="center"/>
    </xf>
    <xf numFmtId="164" fontId="1" fillId="0" borderId="10" xfId="0" applyNumberFormat="1" applyFont="1" applyBorder="1" applyAlignment="1">
      <alignment horizontal="center"/>
    </xf>
    <xf numFmtId="0" fontId="1" fillId="3" borderId="10" xfId="0" applyFont="1" applyFill="1" applyBorder="1" applyAlignment="1">
      <alignment horizontal="center"/>
    </xf>
    <xf numFmtId="0" fontId="3" fillId="0" borderId="10" xfId="0" applyFont="1" applyBorder="1" applyAlignment="1">
      <alignment horizontal="center"/>
    </xf>
    <xf numFmtId="2" fontId="3" fillId="0" borderId="10" xfId="0" applyNumberFormat="1" applyFont="1" applyBorder="1" applyAlignment="1">
      <alignment horizontal="right"/>
    </xf>
    <xf numFmtId="0" fontId="3" fillId="0" borderId="10" xfId="0" applyFont="1" applyBorder="1" applyAlignment="1">
      <alignment horizontal="right"/>
    </xf>
    <xf numFmtId="0" fontId="1" fillId="5" borderId="0" xfId="0" applyFont="1" applyFill="1" applyAlignment="1">
      <alignment horizontal="center"/>
    </xf>
    <xf numFmtId="0" fontId="1" fillId="5" borderId="10" xfId="0" applyFont="1" applyFill="1" applyBorder="1" applyAlignment="1">
      <alignment horizontal="center"/>
    </xf>
    <xf numFmtId="0" fontId="1" fillId="6" borderId="0" xfId="0" applyFont="1" applyFill="1" applyAlignment="1">
      <alignment horizontal="center"/>
    </xf>
    <xf numFmtId="0" fontId="4" fillId="0" borderId="0" xfId="0" applyFont="1" applyAlignment="1">
      <alignment horizontal="center"/>
    </xf>
    <xf numFmtId="2" fontId="4" fillId="0" borderId="0" xfId="0" applyNumberFormat="1" applyFont="1" applyAlignment="1">
      <alignment horizontal="right"/>
    </xf>
    <xf numFmtId="2" fontId="5" fillId="0" borderId="0" xfId="0" applyNumberFormat="1" applyFont="1" applyAlignment="1">
      <alignment horizontal="right"/>
    </xf>
    <xf numFmtId="0" fontId="4" fillId="0" borderId="0" xfId="0" applyFont="1"/>
    <xf numFmtId="0" fontId="4" fillId="0" borderId="0" xfId="0" applyFont="1" applyAlignment="1">
      <alignment horizontal="right"/>
    </xf>
    <xf numFmtId="0" fontId="6" fillId="0" borderId="0" xfId="0" applyFont="1" applyAlignment="1">
      <alignment horizontal="center"/>
    </xf>
    <xf numFmtId="2" fontId="7" fillId="0" borderId="0" xfId="0" applyNumberFormat="1" applyFont="1" applyAlignment="1">
      <alignment horizontal="right"/>
    </xf>
    <xf numFmtId="0" fontId="1" fillId="6" borderId="10" xfId="0" applyFont="1" applyFill="1" applyBorder="1" applyAlignment="1">
      <alignment horizontal="center"/>
    </xf>
    <xf numFmtId="0" fontId="4" fillId="0" borderId="10" xfId="0" applyFont="1" applyBorder="1" applyAlignment="1">
      <alignment horizontal="center"/>
    </xf>
    <xf numFmtId="2" fontId="4" fillId="0" borderId="10" xfId="0" applyNumberFormat="1" applyFont="1" applyBorder="1" applyAlignment="1">
      <alignment horizontal="right"/>
    </xf>
    <xf numFmtId="2" fontId="5" fillId="0" borderId="10" xfId="0" applyNumberFormat="1" applyFont="1" applyBorder="1" applyAlignment="1">
      <alignment horizontal="right"/>
    </xf>
    <xf numFmtId="0" fontId="4" fillId="0" borderId="10" xfId="0" applyFont="1" applyBorder="1" applyAlignment="1">
      <alignment horizontal="right"/>
    </xf>
    <xf numFmtId="0" fontId="1" fillId="7" borderId="0" xfId="0" applyFont="1" applyFill="1" applyAlignment="1">
      <alignment horizontal="center"/>
    </xf>
    <xf numFmtId="0" fontId="1" fillId="7" borderId="10" xfId="0" applyFont="1" applyFill="1" applyBorder="1" applyAlignment="1">
      <alignment horizontal="center"/>
    </xf>
    <xf numFmtId="0" fontId="4" fillId="0" borderId="10" xfId="0" applyFont="1" applyBorder="1"/>
    <xf numFmtId="2" fontId="8" fillId="4" borderId="7" xfId="0" applyNumberFormat="1" applyFont="1" applyFill="1" applyBorder="1" applyAlignment="1">
      <alignment horizontal="center"/>
    </xf>
    <xf numFmtId="2" fontId="8" fillId="4" borderId="0" xfId="0" applyNumberFormat="1" applyFont="1" applyFill="1" applyAlignment="1">
      <alignment horizontal="center"/>
    </xf>
    <xf numFmtId="2" fontId="8" fillId="4" borderId="10" xfId="0" applyNumberFormat="1" applyFont="1" applyFill="1" applyBorder="1" applyAlignment="1">
      <alignment horizontal="center"/>
    </xf>
    <xf numFmtId="165" fontId="8" fillId="4" borderId="7" xfId="0" applyNumberFormat="1" applyFont="1" applyFill="1" applyBorder="1" applyAlignment="1">
      <alignment horizontal="center"/>
    </xf>
    <xf numFmtId="165" fontId="8" fillId="4" borderId="0" xfId="0" applyNumberFormat="1" applyFont="1" applyFill="1" applyAlignment="1">
      <alignment horizontal="center"/>
    </xf>
    <xf numFmtId="165" fontId="8" fillId="4" borderId="10" xfId="0" applyNumberFormat="1" applyFont="1" applyFill="1" applyBorder="1" applyAlignment="1">
      <alignment horizontal="center"/>
    </xf>
    <xf numFmtId="0" fontId="7" fillId="0" borderId="11" xfId="0" applyFont="1" applyBorder="1" applyAlignment="1">
      <alignment wrapText="1"/>
    </xf>
    <xf numFmtId="0" fontId="7" fillId="0" borderId="11" xfId="0" applyFont="1" applyBorder="1" applyAlignment="1">
      <alignment horizontal="center" wrapText="1"/>
    </xf>
    <xf numFmtId="0" fontId="1" fillId="8" borderId="5" xfId="0" applyFont="1" applyFill="1" applyBorder="1" applyAlignment="1">
      <alignment horizontal="center" wrapText="1"/>
    </xf>
    <xf numFmtId="0" fontId="1" fillId="0" borderId="12" xfId="0" applyFont="1" applyBorder="1" applyAlignment="1">
      <alignment horizontal="center"/>
    </xf>
    <xf numFmtId="0" fontId="1" fillId="0" borderId="13" xfId="0" applyFont="1" applyBorder="1" applyAlignment="1">
      <alignment horizontal="center"/>
    </xf>
    <xf numFmtId="0" fontId="0" fillId="0" borderId="0" xfId="0" applyAlignment="1">
      <alignment wrapText="1"/>
    </xf>
    <xf numFmtId="0" fontId="0" fillId="9" borderId="0" xfId="0" applyFill="1"/>
    <xf numFmtId="0" fontId="7" fillId="9" borderId="11" xfId="0" applyFont="1" applyFill="1" applyBorder="1" applyAlignment="1">
      <alignment wrapText="1"/>
    </xf>
    <xf numFmtId="0" fontId="7" fillId="0" borderId="0" xfId="0" applyFont="1"/>
    <xf numFmtId="0" fontId="1" fillId="2" borderId="1" xfId="0" applyFont="1" applyFill="1" applyBorder="1" applyAlignment="1">
      <alignment horizontal="center"/>
    </xf>
    <xf numFmtId="0" fontId="2" fillId="0" borderId="2" xfId="0" applyFont="1" applyBorder="1"/>
    <xf numFmtId="0" fontId="2" fillId="0" borderId="3" xfId="0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4" Type="http://schemas.openxmlformats.org/officeDocument/2006/relationships/image" Target="../media/image4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23</xdr:col>
      <xdr:colOff>355600</xdr:colOff>
      <xdr:row>45</xdr:row>
      <xdr:rowOff>38100</xdr:rowOff>
    </xdr:from>
    <xdr:ext cx="7896225" cy="4391025"/>
    <xdr:pic>
      <xdr:nvPicPr>
        <xdr:cNvPr id="2" name="image1.png" title="Image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16414750" y="9309100"/>
          <a:ext cx="7896225" cy="4391025"/>
        </a:xfrm>
        <a:prstGeom prst="rect">
          <a:avLst/>
        </a:prstGeom>
        <a:noFill/>
      </xdr:spPr>
    </xdr:pic>
    <xdr:clientData fLocksWithSheet="0"/>
  </xdr:oneCellAnchor>
  <xdr:oneCellAnchor>
    <xdr:from>
      <xdr:col>22</xdr:col>
      <xdr:colOff>266700</xdr:colOff>
      <xdr:row>2</xdr:row>
      <xdr:rowOff>428625</xdr:rowOff>
    </xdr:from>
    <xdr:ext cx="8058150" cy="4152900"/>
    <xdr:pic>
      <xdr:nvPicPr>
        <xdr:cNvPr id="3" name="image3.png" title="Image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22</xdr:col>
      <xdr:colOff>266700</xdr:colOff>
      <xdr:row>23</xdr:row>
      <xdr:rowOff>19050</xdr:rowOff>
    </xdr:from>
    <xdr:ext cx="8220075" cy="4152900"/>
    <xdr:pic>
      <xdr:nvPicPr>
        <xdr:cNvPr id="4" name="image2.png" title="Image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PicPr preferRelativeResize="0"/>
      </xdr:nvPicPr>
      <xdr:blipFill>
        <a:blip xmlns:r="http://schemas.openxmlformats.org/officeDocument/2006/relationships" r:embed="rId3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44</xdr:row>
      <xdr:rowOff>104775</xdr:rowOff>
    </xdr:from>
    <xdr:ext cx="16106775" cy="4533900"/>
    <xdr:pic>
      <xdr:nvPicPr>
        <xdr:cNvPr id="5" name="image4.png" title="Image">
          <a:extLst>
            <a:ext uri="{FF2B5EF4-FFF2-40B4-BE49-F238E27FC236}">
              <a16:creationId xmlns:a16="http://schemas.microsoft.com/office/drawing/2014/main" id="{00000000-0008-0000-0000-000005000000}"/>
            </a:ext>
          </a:extLst>
        </xdr:cNvPr>
        <xdr:cNvPicPr preferRelativeResize="0"/>
      </xdr:nvPicPr>
      <xdr:blipFill>
        <a:blip xmlns:r="http://schemas.openxmlformats.org/officeDocument/2006/relationships" r:embed="rId4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comments" Target="../comments2.xml"/><Relationship Id="rId1" Type="http://schemas.openxmlformats.org/officeDocument/2006/relationships/vmlDrawing" Target="../drawings/vmlDrawing2.vml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comments" Target="../comments3.xml"/><Relationship Id="rId2" Type="http://schemas.openxmlformats.org/officeDocument/2006/relationships/vmlDrawing" Target="../drawings/vmlDrawing3.vml"/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7FCBDCD-8DAE-AB40-A1EF-769E24854A98}">
  <dimension ref="A1:AL61"/>
  <sheetViews>
    <sheetView tabSelected="1" zoomScale="95" workbookViewId="0">
      <pane ySplit="1" topLeftCell="A2" activePane="bottomLeft" state="frozen"/>
      <selection activeCell="N1" sqref="N1"/>
      <selection pane="bottomLeft" activeCell="L58" sqref="L58"/>
    </sheetView>
  </sheetViews>
  <sheetFormatPr baseColWidth="10" defaultColWidth="10.83203125" defaultRowHeight="13" x14ac:dyDescent="0.15"/>
  <cols>
    <col min="5" max="5" width="16.83203125" bestFit="1" customWidth="1"/>
    <col min="6" max="6" width="16.83203125" customWidth="1"/>
    <col min="7" max="7" width="19.83203125" customWidth="1"/>
    <col min="8" max="9" width="11.33203125" customWidth="1"/>
    <col min="16" max="16" width="11.1640625" bestFit="1" customWidth="1"/>
    <col min="17" max="17" width="13.5" customWidth="1"/>
    <col min="18" max="18" width="6.83203125" bestFit="1" customWidth="1"/>
    <col min="19" max="19" width="9.6640625" bestFit="1" customWidth="1"/>
    <col min="26" max="27" width="13.1640625" bestFit="1" customWidth="1"/>
    <col min="28" max="28" width="13.1640625" customWidth="1"/>
    <col min="30" max="30" width="14.5" customWidth="1"/>
    <col min="35" max="35" width="12.5" customWidth="1"/>
    <col min="37" max="37" width="30.6640625" customWidth="1"/>
    <col min="38" max="38" width="22.1640625" bestFit="1" customWidth="1"/>
  </cols>
  <sheetData>
    <row r="1" spans="1:38" ht="39.5" customHeight="1" x14ac:dyDescent="0.15">
      <c r="A1" t="s">
        <v>242</v>
      </c>
      <c r="B1" t="s">
        <v>358</v>
      </c>
      <c r="C1" t="s">
        <v>6</v>
      </c>
      <c r="D1" t="s">
        <v>359</v>
      </c>
      <c r="E1" t="s">
        <v>360</v>
      </c>
      <c r="F1" t="s">
        <v>361</v>
      </c>
      <c r="G1" t="s">
        <v>362</v>
      </c>
      <c r="H1" t="s">
        <v>363</v>
      </c>
      <c r="I1" s="60" t="s">
        <v>389</v>
      </c>
      <c r="J1" s="60" t="s">
        <v>390</v>
      </c>
      <c r="K1" s="60" t="s">
        <v>391</v>
      </c>
      <c r="L1" t="s">
        <v>364</v>
      </c>
      <c r="M1" t="s">
        <v>365</v>
      </c>
      <c r="N1" t="s">
        <v>366</v>
      </c>
      <c r="O1" t="s">
        <v>367</v>
      </c>
      <c r="P1" t="s">
        <v>368</v>
      </c>
      <c r="Q1" t="s">
        <v>369</v>
      </c>
      <c r="R1" t="s">
        <v>370</v>
      </c>
      <c r="S1" t="s">
        <v>371</v>
      </c>
      <c r="T1" t="s">
        <v>372</v>
      </c>
      <c r="U1" t="s">
        <v>373</v>
      </c>
      <c r="V1" t="s">
        <v>374</v>
      </c>
      <c r="W1" t="s">
        <v>375</v>
      </c>
      <c r="X1" t="s">
        <v>23</v>
      </c>
      <c r="Y1" t="s">
        <v>24</v>
      </c>
      <c r="Z1" t="s">
        <v>376</v>
      </c>
      <c r="AA1" t="s">
        <v>377</v>
      </c>
      <c r="AB1" t="s">
        <v>378</v>
      </c>
      <c r="AC1" t="s">
        <v>90</v>
      </c>
      <c r="AD1" t="s">
        <v>379</v>
      </c>
      <c r="AE1" t="s">
        <v>205</v>
      </c>
      <c r="AF1" t="s">
        <v>206</v>
      </c>
      <c r="AG1" t="s">
        <v>207</v>
      </c>
      <c r="AH1" t="s">
        <v>344</v>
      </c>
      <c r="AI1" t="s">
        <v>345</v>
      </c>
      <c r="AJ1" t="s">
        <v>346</v>
      </c>
      <c r="AK1" t="s">
        <v>208</v>
      </c>
      <c r="AL1" t="s">
        <v>209</v>
      </c>
    </row>
    <row r="2" spans="1:38" x14ac:dyDescent="0.15">
      <c r="A2" t="s">
        <v>243</v>
      </c>
      <c r="B2">
        <v>1</v>
      </c>
      <c r="C2" t="s">
        <v>26</v>
      </c>
      <c r="D2">
        <v>45428</v>
      </c>
      <c r="E2" t="s">
        <v>27</v>
      </c>
      <c r="F2" t="s">
        <v>59</v>
      </c>
      <c r="G2" t="s">
        <v>28</v>
      </c>
      <c r="H2" s="60" t="s">
        <v>380</v>
      </c>
      <c r="I2" s="60" t="s">
        <v>383</v>
      </c>
      <c r="J2" s="60" t="s">
        <v>383</v>
      </c>
      <c r="K2" s="60" t="s">
        <v>383</v>
      </c>
      <c r="L2">
        <v>50</v>
      </c>
      <c r="M2">
        <v>30</v>
      </c>
      <c r="N2" t="s">
        <v>30</v>
      </c>
      <c r="O2" t="s">
        <v>31</v>
      </c>
      <c r="P2" t="s">
        <v>32</v>
      </c>
      <c r="Q2" t="s">
        <v>29</v>
      </c>
      <c r="R2">
        <v>4018</v>
      </c>
      <c r="S2">
        <v>1.64</v>
      </c>
      <c r="T2">
        <v>1.69</v>
      </c>
      <c r="U2">
        <f>AVERAGE(S2:T2)</f>
        <v>1.665</v>
      </c>
      <c r="V2">
        <f t="shared" ref="V2:V41" si="0">U2*L2</f>
        <v>83.25</v>
      </c>
      <c r="W2">
        <f t="shared" ref="W2:W41" si="1">V2/1000</f>
        <v>8.3250000000000005E-2</v>
      </c>
      <c r="X2">
        <v>1.73</v>
      </c>
      <c r="Y2">
        <v>1.72</v>
      </c>
      <c r="Z2">
        <v>5.9</v>
      </c>
      <c r="AA2">
        <v>11015</v>
      </c>
      <c r="AB2" t="s">
        <v>303</v>
      </c>
      <c r="AC2">
        <v>27.839625099999999</v>
      </c>
      <c r="AD2">
        <v>584.71768399999996</v>
      </c>
      <c r="AE2">
        <v>46381</v>
      </c>
      <c r="AF2">
        <v>1436416</v>
      </c>
      <c r="AG2">
        <v>32.560499999999998</v>
      </c>
      <c r="AH2">
        <v>1.2679199999999999</v>
      </c>
      <c r="AI2">
        <v>39.6</v>
      </c>
      <c r="AJ2">
        <v>60</v>
      </c>
      <c r="AL2" t="s">
        <v>352</v>
      </c>
    </row>
    <row r="3" spans="1:38" x14ac:dyDescent="0.15">
      <c r="A3" t="s">
        <v>244</v>
      </c>
      <c r="B3">
        <v>2</v>
      </c>
      <c r="C3" t="s">
        <v>33</v>
      </c>
      <c r="D3">
        <v>45428</v>
      </c>
      <c r="E3" t="s">
        <v>27</v>
      </c>
      <c r="F3" t="s">
        <v>59</v>
      </c>
      <c r="G3" t="s">
        <v>28</v>
      </c>
      <c r="H3" s="60" t="s">
        <v>380</v>
      </c>
      <c r="I3" s="60" t="s">
        <v>383</v>
      </c>
      <c r="J3" s="60" t="s">
        <v>383</v>
      </c>
      <c r="K3" s="60" t="s">
        <v>383</v>
      </c>
      <c r="L3">
        <v>50</v>
      </c>
      <c r="M3">
        <v>30</v>
      </c>
      <c r="N3" t="s">
        <v>34</v>
      </c>
      <c r="O3" t="s">
        <v>35</v>
      </c>
      <c r="P3" t="s">
        <v>29</v>
      </c>
      <c r="Q3" t="s">
        <v>29</v>
      </c>
      <c r="R3">
        <v>5064</v>
      </c>
      <c r="S3">
        <v>7.41</v>
      </c>
      <c r="T3">
        <v>4.4400000000000004</v>
      </c>
      <c r="U3">
        <f>AVERAGE(S3:T3)</f>
        <v>5.9250000000000007</v>
      </c>
      <c r="V3">
        <f t="shared" si="0"/>
        <v>296.25000000000006</v>
      </c>
      <c r="W3">
        <f t="shared" si="1"/>
        <v>0.29625000000000007</v>
      </c>
      <c r="X3">
        <v>1.89</v>
      </c>
      <c r="Y3">
        <v>1.87</v>
      </c>
      <c r="Z3">
        <v>4.9000000000000004</v>
      </c>
      <c r="AA3">
        <v>10884</v>
      </c>
      <c r="AB3" t="s">
        <v>304</v>
      </c>
      <c r="AC3">
        <v>24.019702899999999</v>
      </c>
      <c r="AD3">
        <v>7194.70525</v>
      </c>
      <c r="AE3">
        <v>1301395</v>
      </c>
      <c r="AF3">
        <v>2913358</v>
      </c>
      <c r="AG3">
        <v>66.039599999999993</v>
      </c>
      <c r="AH3">
        <v>35.357199999999999</v>
      </c>
      <c r="AI3">
        <v>39.6</v>
      </c>
      <c r="AJ3">
        <v>60</v>
      </c>
      <c r="AL3" t="s">
        <v>236</v>
      </c>
    </row>
    <row r="4" spans="1:38" x14ac:dyDescent="0.15">
      <c r="A4" t="s">
        <v>245</v>
      </c>
      <c r="B4">
        <v>3</v>
      </c>
      <c r="C4" t="s">
        <v>36</v>
      </c>
      <c r="D4">
        <v>45428</v>
      </c>
      <c r="E4" t="s">
        <v>27</v>
      </c>
      <c r="F4" t="s">
        <v>59</v>
      </c>
      <c r="G4" t="s">
        <v>28</v>
      </c>
      <c r="H4" s="60" t="s">
        <v>380</v>
      </c>
      <c r="I4" s="60" t="s">
        <v>383</v>
      </c>
      <c r="J4" s="60" t="s">
        <v>383</v>
      </c>
      <c r="K4" s="60" t="s">
        <v>383</v>
      </c>
      <c r="L4">
        <v>50</v>
      </c>
      <c r="M4">
        <v>30</v>
      </c>
      <c r="N4" t="s">
        <v>34</v>
      </c>
      <c r="O4" t="s">
        <v>35</v>
      </c>
      <c r="P4" t="s">
        <v>29</v>
      </c>
      <c r="Q4" t="s">
        <v>29</v>
      </c>
      <c r="R4">
        <v>5073</v>
      </c>
      <c r="S4">
        <f>4.44*10</f>
        <v>44.400000000000006</v>
      </c>
      <c r="T4">
        <f>4.91*10</f>
        <v>49.1</v>
      </c>
      <c r="U4">
        <f t="shared" ref="U4:U41" si="2">AVERAGE(S4:T4)</f>
        <v>46.75</v>
      </c>
      <c r="V4">
        <f t="shared" si="0"/>
        <v>2337.5</v>
      </c>
      <c r="W4">
        <f t="shared" si="1"/>
        <v>2.3374999999999999</v>
      </c>
      <c r="X4">
        <v>1.92</v>
      </c>
      <c r="Y4">
        <v>2.34</v>
      </c>
      <c r="Z4">
        <v>2.1</v>
      </c>
      <c r="AA4">
        <v>424</v>
      </c>
      <c r="AB4" t="s">
        <v>305</v>
      </c>
      <c r="AC4">
        <v>21.112391500000001</v>
      </c>
      <c r="AD4">
        <v>48601.970800000003</v>
      </c>
      <c r="AE4">
        <v>4513488</v>
      </c>
      <c r="AF4">
        <v>641256</v>
      </c>
      <c r="AG4">
        <v>14.5359</v>
      </c>
      <c r="AH4">
        <v>119.84699999999999</v>
      </c>
      <c r="AI4">
        <v>39.6</v>
      </c>
      <c r="AJ4">
        <v>60</v>
      </c>
      <c r="AL4" t="s">
        <v>236</v>
      </c>
    </row>
    <row r="5" spans="1:38" x14ac:dyDescent="0.15">
      <c r="A5" t="s">
        <v>246</v>
      </c>
      <c r="B5">
        <v>4</v>
      </c>
      <c r="C5" t="s">
        <v>37</v>
      </c>
      <c r="D5">
        <v>45428</v>
      </c>
      <c r="E5" t="s">
        <v>27</v>
      </c>
      <c r="F5" t="s">
        <v>59</v>
      </c>
      <c r="G5" t="s">
        <v>28</v>
      </c>
      <c r="H5" s="60" t="s">
        <v>380</v>
      </c>
      <c r="I5" s="60" t="s">
        <v>383</v>
      </c>
      <c r="J5" s="60" t="s">
        <v>383</v>
      </c>
      <c r="K5" s="60" t="s">
        <v>383</v>
      </c>
      <c r="L5">
        <v>50</v>
      </c>
      <c r="M5">
        <v>30</v>
      </c>
      <c r="N5" t="s">
        <v>38</v>
      </c>
      <c r="O5" t="s">
        <v>35</v>
      </c>
      <c r="P5" t="s">
        <v>29</v>
      </c>
      <c r="Q5" t="s">
        <v>29</v>
      </c>
      <c r="R5">
        <v>5236</v>
      </c>
      <c r="S5">
        <f>4.23*10</f>
        <v>42.300000000000004</v>
      </c>
      <c r="T5">
        <f>10*4.05</f>
        <v>40.5</v>
      </c>
      <c r="U5">
        <f t="shared" si="2"/>
        <v>41.400000000000006</v>
      </c>
      <c r="V5">
        <f t="shared" si="0"/>
        <v>2070.0000000000005</v>
      </c>
      <c r="W5">
        <f t="shared" si="1"/>
        <v>2.0700000000000003</v>
      </c>
      <c r="X5">
        <v>1.9</v>
      </c>
      <c r="Y5">
        <v>2.0499999999999998</v>
      </c>
      <c r="Z5">
        <v>2.2000000000000002</v>
      </c>
      <c r="AA5">
        <v>488</v>
      </c>
      <c r="AB5" t="s">
        <v>306</v>
      </c>
      <c r="AC5">
        <v>20.5659031</v>
      </c>
      <c r="AD5">
        <v>69598.805600000007</v>
      </c>
      <c r="AE5">
        <v>424187</v>
      </c>
      <c r="AF5">
        <v>680088</v>
      </c>
      <c r="AG5">
        <v>15.4161</v>
      </c>
      <c r="AH5">
        <v>10.283799999999999</v>
      </c>
      <c r="AI5">
        <v>39.5</v>
      </c>
      <c r="AJ5">
        <v>60</v>
      </c>
      <c r="AL5" t="s">
        <v>236</v>
      </c>
    </row>
    <row r="6" spans="1:38" x14ac:dyDescent="0.15">
      <c r="A6" t="s">
        <v>247</v>
      </c>
      <c r="B6">
        <v>5</v>
      </c>
      <c r="C6" t="s">
        <v>39</v>
      </c>
      <c r="D6">
        <v>45428</v>
      </c>
      <c r="E6" t="s">
        <v>27</v>
      </c>
      <c r="F6" t="s">
        <v>59</v>
      </c>
      <c r="G6" t="s">
        <v>28</v>
      </c>
      <c r="H6" s="60" t="s">
        <v>380</v>
      </c>
      <c r="I6" s="60" t="s">
        <v>383</v>
      </c>
      <c r="J6" s="60" t="s">
        <v>383</v>
      </c>
      <c r="K6" s="60" t="s">
        <v>383</v>
      </c>
      <c r="L6">
        <v>50</v>
      </c>
      <c r="M6">
        <v>30</v>
      </c>
      <c r="N6" t="s">
        <v>38</v>
      </c>
      <c r="O6" t="s">
        <v>31</v>
      </c>
      <c r="P6" t="s">
        <v>40</v>
      </c>
      <c r="Q6" t="s">
        <v>32</v>
      </c>
      <c r="R6">
        <v>5408</v>
      </c>
      <c r="S6">
        <f>10*5.02</f>
        <v>50.199999999999996</v>
      </c>
      <c r="T6">
        <f>10*5.09</f>
        <v>50.9</v>
      </c>
      <c r="U6">
        <f t="shared" si="2"/>
        <v>50.55</v>
      </c>
      <c r="V6">
        <f t="shared" si="0"/>
        <v>2527.5</v>
      </c>
      <c r="W6">
        <f t="shared" si="1"/>
        <v>2.5274999999999999</v>
      </c>
      <c r="X6">
        <v>1.9</v>
      </c>
      <c r="Y6">
        <v>2.25</v>
      </c>
      <c r="Z6">
        <v>1.8</v>
      </c>
      <c r="AA6">
        <v>522</v>
      </c>
      <c r="AB6" t="s">
        <v>307</v>
      </c>
      <c r="AC6">
        <v>17.497275200000001</v>
      </c>
      <c r="AD6">
        <v>522728.89199999999</v>
      </c>
      <c r="AE6">
        <v>13918751</v>
      </c>
      <c r="AF6">
        <v>2428819</v>
      </c>
      <c r="AG6">
        <v>55.056100000000001</v>
      </c>
      <c r="AH6">
        <v>394.67500000000001</v>
      </c>
      <c r="AI6">
        <v>39.6</v>
      </c>
      <c r="AJ6">
        <v>60</v>
      </c>
      <c r="AL6" t="s">
        <v>230</v>
      </c>
    </row>
    <row r="7" spans="1:38" x14ac:dyDescent="0.15">
      <c r="A7" t="s">
        <v>248</v>
      </c>
      <c r="B7">
        <v>6</v>
      </c>
      <c r="C7" t="s">
        <v>41</v>
      </c>
      <c r="D7">
        <v>45428</v>
      </c>
      <c r="E7" t="s">
        <v>27</v>
      </c>
      <c r="F7" t="s">
        <v>59</v>
      </c>
      <c r="G7" t="s">
        <v>28</v>
      </c>
      <c r="H7" s="60" t="s">
        <v>380</v>
      </c>
      <c r="I7" s="60" t="s">
        <v>383</v>
      </c>
      <c r="J7" s="60" t="s">
        <v>383</v>
      </c>
      <c r="K7" s="60" t="s">
        <v>383</v>
      </c>
      <c r="L7">
        <v>50</v>
      </c>
      <c r="M7">
        <v>30</v>
      </c>
      <c r="N7" t="s">
        <v>38</v>
      </c>
      <c r="O7" t="s">
        <v>35</v>
      </c>
      <c r="P7" t="s">
        <v>29</v>
      </c>
      <c r="Q7" t="s">
        <v>29</v>
      </c>
      <c r="R7">
        <v>5492</v>
      </c>
      <c r="S7">
        <f>100*5.4</f>
        <v>540</v>
      </c>
      <c r="T7">
        <f>100*5.3</f>
        <v>530</v>
      </c>
      <c r="U7">
        <f t="shared" si="2"/>
        <v>535</v>
      </c>
      <c r="V7">
        <f t="shared" si="0"/>
        <v>26750</v>
      </c>
      <c r="W7">
        <f t="shared" si="1"/>
        <v>26.75</v>
      </c>
      <c r="X7">
        <v>1.86</v>
      </c>
      <c r="Y7">
        <v>2.19</v>
      </c>
      <c r="Z7">
        <v>3.9</v>
      </c>
      <c r="AA7" t="s">
        <v>91</v>
      </c>
      <c r="AB7" t="s">
        <v>308</v>
      </c>
      <c r="AC7">
        <v>17.300256399999999</v>
      </c>
      <c r="AD7">
        <v>594974.68400000001</v>
      </c>
      <c r="AE7">
        <v>10457</v>
      </c>
      <c r="AF7">
        <v>690387</v>
      </c>
      <c r="AG7">
        <v>15.6496</v>
      </c>
      <c r="AH7">
        <v>0.29988799999999999</v>
      </c>
      <c r="AI7">
        <v>39.5</v>
      </c>
      <c r="AJ7">
        <v>60</v>
      </c>
      <c r="AL7" t="s">
        <v>236</v>
      </c>
    </row>
    <row r="8" spans="1:38" x14ac:dyDescent="0.15">
      <c r="A8" t="s">
        <v>249</v>
      </c>
      <c r="B8">
        <v>7</v>
      </c>
      <c r="C8" t="s">
        <v>42</v>
      </c>
      <c r="D8">
        <v>45428</v>
      </c>
      <c r="E8" t="s">
        <v>27</v>
      </c>
      <c r="F8" t="s">
        <v>59</v>
      </c>
      <c r="G8" t="s">
        <v>28</v>
      </c>
      <c r="H8" s="60" t="s">
        <v>380</v>
      </c>
      <c r="I8" s="60" t="s">
        <v>383</v>
      </c>
      <c r="J8" s="60" t="s">
        <v>383</v>
      </c>
      <c r="K8" s="60" t="s">
        <v>383</v>
      </c>
      <c r="L8">
        <v>50</v>
      </c>
      <c r="M8">
        <v>30</v>
      </c>
      <c r="N8" t="s">
        <v>43</v>
      </c>
      <c r="O8" t="s">
        <v>31</v>
      </c>
      <c r="P8" t="s">
        <v>40</v>
      </c>
      <c r="Q8" t="s">
        <v>32</v>
      </c>
      <c r="R8">
        <v>5597</v>
      </c>
      <c r="S8">
        <f>10*3.31</f>
        <v>33.1</v>
      </c>
      <c r="T8">
        <f>10*3.08</f>
        <v>30.8</v>
      </c>
      <c r="U8">
        <f t="shared" si="2"/>
        <v>31.950000000000003</v>
      </c>
      <c r="V8">
        <f t="shared" si="0"/>
        <v>1597.5000000000002</v>
      </c>
      <c r="W8">
        <f t="shared" si="1"/>
        <v>1.5975000000000001</v>
      </c>
      <c r="X8">
        <v>1.94</v>
      </c>
      <c r="Y8">
        <v>2.42</v>
      </c>
      <c r="Z8">
        <v>2.4</v>
      </c>
      <c r="AA8">
        <v>478</v>
      </c>
      <c r="AB8" t="s">
        <v>309</v>
      </c>
      <c r="AC8">
        <v>17.955581299999999</v>
      </c>
      <c r="AD8">
        <v>386805.495</v>
      </c>
      <c r="AE8">
        <v>13323553</v>
      </c>
      <c r="AF8">
        <v>2388715</v>
      </c>
      <c r="AG8">
        <v>54.147100000000002</v>
      </c>
      <c r="AH8">
        <v>380.34500000000003</v>
      </c>
      <c r="AI8">
        <v>39.6</v>
      </c>
      <c r="AJ8">
        <v>60</v>
      </c>
      <c r="AL8" t="s">
        <v>353</v>
      </c>
    </row>
    <row r="9" spans="1:38" x14ac:dyDescent="0.15">
      <c r="A9" t="s">
        <v>250</v>
      </c>
      <c r="B9">
        <v>8</v>
      </c>
      <c r="C9" t="s">
        <v>44</v>
      </c>
      <c r="D9">
        <v>45428</v>
      </c>
      <c r="E9" t="s">
        <v>27</v>
      </c>
      <c r="F9" t="s">
        <v>59</v>
      </c>
      <c r="G9" t="s">
        <v>28</v>
      </c>
      <c r="H9" s="60" t="s">
        <v>380</v>
      </c>
      <c r="I9" s="60" t="s">
        <v>383</v>
      </c>
      <c r="J9" s="60" t="s">
        <v>383</v>
      </c>
      <c r="K9" s="60" t="s">
        <v>383</v>
      </c>
      <c r="L9">
        <v>50</v>
      </c>
      <c r="M9">
        <v>30</v>
      </c>
      <c r="N9" t="s">
        <v>34</v>
      </c>
      <c r="O9" t="s">
        <v>35</v>
      </c>
      <c r="P9" t="s">
        <v>29</v>
      </c>
      <c r="Q9" t="s">
        <v>29</v>
      </c>
      <c r="R9">
        <v>5638</v>
      </c>
      <c r="S9">
        <v>2.11</v>
      </c>
      <c r="T9">
        <v>2.15</v>
      </c>
      <c r="U9">
        <f t="shared" si="2"/>
        <v>2.13</v>
      </c>
      <c r="V9">
        <f t="shared" si="0"/>
        <v>106.5</v>
      </c>
      <c r="W9">
        <f t="shared" si="1"/>
        <v>0.1065</v>
      </c>
      <c r="X9">
        <v>1.74</v>
      </c>
      <c r="Y9">
        <v>1.85</v>
      </c>
      <c r="Z9">
        <v>1.7</v>
      </c>
      <c r="AA9">
        <v>380</v>
      </c>
      <c r="AB9" t="s">
        <v>310</v>
      </c>
      <c r="AC9">
        <v>18.159447799999999</v>
      </c>
      <c r="AD9">
        <v>338311.33199999999</v>
      </c>
      <c r="AE9">
        <v>257760</v>
      </c>
      <c r="AF9">
        <v>1006355</v>
      </c>
      <c r="AG9">
        <v>22.811900000000001</v>
      </c>
      <c r="AH9">
        <v>5.7809900000000001</v>
      </c>
      <c r="AI9">
        <v>39.6</v>
      </c>
      <c r="AJ9">
        <v>60</v>
      </c>
      <c r="AL9" t="s">
        <v>230</v>
      </c>
    </row>
    <row r="10" spans="1:38" x14ac:dyDescent="0.15">
      <c r="A10" t="s">
        <v>251</v>
      </c>
      <c r="B10">
        <v>9</v>
      </c>
      <c r="C10" t="s">
        <v>45</v>
      </c>
      <c r="D10">
        <v>45428</v>
      </c>
      <c r="E10" t="s">
        <v>27</v>
      </c>
      <c r="F10" t="s">
        <v>59</v>
      </c>
      <c r="G10" t="s">
        <v>28</v>
      </c>
      <c r="H10" s="60" t="s">
        <v>380</v>
      </c>
      <c r="I10" s="60" t="s">
        <v>383</v>
      </c>
      <c r="J10" s="60" t="s">
        <v>383</v>
      </c>
      <c r="K10" s="60" t="s">
        <v>383</v>
      </c>
      <c r="L10">
        <v>50</v>
      </c>
      <c r="M10">
        <v>30</v>
      </c>
      <c r="N10" t="s">
        <v>34</v>
      </c>
      <c r="O10" t="s">
        <v>35</v>
      </c>
      <c r="P10" t="s">
        <v>29</v>
      </c>
      <c r="Q10" t="s">
        <v>29</v>
      </c>
      <c r="R10">
        <v>5647</v>
      </c>
      <c r="S10">
        <v>1.5</v>
      </c>
      <c r="T10">
        <v>1.41</v>
      </c>
      <c r="U10">
        <f t="shared" si="2"/>
        <v>1.4550000000000001</v>
      </c>
      <c r="V10">
        <f t="shared" si="0"/>
        <v>72.75</v>
      </c>
      <c r="W10">
        <f t="shared" si="1"/>
        <v>7.2749999999999995E-2</v>
      </c>
      <c r="X10">
        <v>2.11</v>
      </c>
      <c r="Y10">
        <v>1.03</v>
      </c>
      <c r="Z10">
        <v>2.1</v>
      </c>
      <c r="AA10" t="s">
        <v>92</v>
      </c>
      <c r="AB10" t="s">
        <v>311</v>
      </c>
      <c r="AC10">
        <v>23.802845099999999</v>
      </c>
      <c r="AD10">
        <v>8296.5269100000005</v>
      </c>
      <c r="AE10">
        <v>1232021</v>
      </c>
      <c r="AF10">
        <v>4117668</v>
      </c>
      <c r="AG10">
        <v>93.338700000000003</v>
      </c>
      <c r="AH10">
        <v>34.357599999999998</v>
      </c>
      <c r="AI10">
        <v>39.6</v>
      </c>
      <c r="AJ10">
        <v>60</v>
      </c>
      <c r="AL10" t="s">
        <v>232</v>
      </c>
    </row>
    <row r="11" spans="1:38" x14ac:dyDescent="0.15">
      <c r="A11" t="s">
        <v>252</v>
      </c>
      <c r="B11">
        <v>10</v>
      </c>
      <c r="C11" t="s">
        <v>46</v>
      </c>
      <c r="D11">
        <v>45428</v>
      </c>
      <c r="E11" t="s">
        <v>27</v>
      </c>
      <c r="F11" t="s">
        <v>59</v>
      </c>
      <c r="G11" t="s">
        <v>28</v>
      </c>
      <c r="H11" s="60" t="s">
        <v>380</v>
      </c>
      <c r="I11" s="60" t="s">
        <v>383</v>
      </c>
      <c r="J11" s="60" t="s">
        <v>383</v>
      </c>
      <c r="K11" s="60" t="s">
        <v>383</v>
      </c>
      <c r="L11">
        <v>50</v>
      </c>
      <c r="M11">
        <v>30</v>
      </c>
      <c r="N11" t="s">
        <v>43</v>
      </c>
      <c r="O11" t="s">
        <v>35</v>
      </c>
      <c r="P11" t="s">
        <v>29</v>
      </c>
      <c r="Q11" t="s">
        <v>29</v>
      </c>
      <c r="R11">
        <v>5791</v>
      </c>
      <c r="S11">
        <f>10*1.48</f>
        <v>14.8</v>
      </c>
      <c r="T11">
        <f>10*1.38</f>
        <v>13.799999999999999</v>
      </c>
      <c r="U11">
        <f t="shared" si="2"/>
        <v>14.3</v>
      </c>
      <c r="V11">
        <f t="shared" si="0"/>
        <v>715</v>
      </c>
      <c r="W11">
        <f t="shared" si="1"/>
        <v>0.71499999999999997</v>
      </c>
      <c r="X11">
        <v>1.86</v>
      </c>
      <c r="Y11">
        <v>1.87</v>
      </c>
      <c r="Z11">
        <v>1.5</v>
      </c>
      <c r="AA11">
        <v>279</v>
      </c>
      <c r="AB11" t="s">
        <v>312</v>
      </c>
      <c r="AC11">
        <v>17.282575000000001</v>
      </c>
      <c r="AD11">
        <v>601927.42799999996</v>
      </c>
      <c r="AE11">
        <v>5655410</v>
      </c>
      <c r="AF11">
        <v>3425404</v>
      </c>
      <c r="AG11">
        <v>77.646600000000007</v>
      </c>
      <c r="AH11">
        <v>161.56</v>
      </c>
      <c r="AI11">
        <v>39.5</v>
      </c>
      <c r="AJ11">
        <v>60</v>
      </c>
      <c r="AL11" t="s">
        <v>354</v>
      </c>
    </row>
    <row r="12" spans="1:38" x14ac:dyDescent="0.15">
      <c r="A12" t="s">
        <v>253</v>
      </c>
      <c r="B12">
        <v>1</v>
      </c>
      <c r="C12" t="s">
        <v>47</v>
      </c>
      <c r="D12">
        <v>45428</v>
      </c>
      <c r="E12" t="s">
        <v>27</v>
      </c>
      <c r="F12" t="s">
        <v>59</v>
      </c>
      <c r="G12" s="60" t="s">
        <v>48</v>
      </c>
      <c r="H12" s="60" t="s">
        <v>380</v>
      </c>
      <c r="I12" s="60" t="s">
        <v>383</v>
      </c>
      <c r="J12" s="60" t="s">
        <v>384</v>
      </c>
      <c r="K12" s="60" t="s">
        <v>384</v>
      </c>
      <c r="L12">
        <v>50</v>
      </c>
      <c r="M12">
        <v>30</v>
      </c>
      <c r="N12" t="s">
        <v>30</v>
      </c>
      <c r="O12" t="s">
        <v>31</v>
      </c>
      <c r="P12" t="s">
        <v>32</v>
      </c>
      <c r="Q12" t="s">
        <v>29</v>
      </c>
      <c r="R12">
        <v>4018</v>
      </c>
      <c r="S12">
        <v>2.8</v>
      </c>
      <c r="T12">
        <v>2.5</v>
      </c>
      <c r="U12">
        <f t="shared" si="2"/>
        <v>2.65</v>
      </c>
      <c r="V12">
        <f t="shared" si="0"/>
        <v>132.5</v>
      </c>
      <c r="W12">
        <f t="shared" si="1"/>
        <v>0.13250000000000001</v>
      </c>
      <c r="X12">
        <v>2.04</v>
      </c>
      <c r="Y12">
        <v>0.78</v>
      </c>
      <c r="Z12">
        <v>3.9</v>
      </c>
      <c r="AA12">
        <v>6814</v>
      </c>
      <c r="AB12" t="s">
        <v>313</v>
      </c>
      <c r="AC12">
        <v>34.549925899999998</v>
      </c>
      <c r="AD12">
        <v>7.1132910599999999</v>
      </c>
      <c r="AE12">
        <v>12604</v>
      </c>
      <c r="AF12">
        <v>37543</v>
      </c>
      <c r="AG12">
        <v>0.85102</v>
      </c>
      <c r="AH12">
        <v>0.295568</v>
      </c>
      <c r="AI12">
        <v>39.6</v>
      </c>
      <c r="AJ12">
        <v>60</v>
      </c>
      <c r="AL12" t="s">
        <v>351</v>
      </c>
    </row>
    <row r="13" spans="1:38" x14ac:dyDescent="0.15">
      <c r="A13" t="s">
        <v>254</v>
      </c>
      <c r="B13">
        <v>2</v>
      </c>
      <c r="C13" t="s">
        <v>49</v>
      </c>
      <c r="D13">
        <v>45428</v>
      </c>
      <c r="E13" t="s">
        <v>27</v>
      </c>
      <c r="F13" t="s">
        <v>59</v>
      </c>
      <c r="G13" t="s">
        <v>48</v>
      </c>
      <c r="H13" s="60" t="s">
        <v>380</v>
      </c>
      <c r="I13" s="60" t="s">
        <v>383</v>
      </c>
      <c r="J13" s="60" t="s">
        <v>384</v>
      </c>
      <c r="K13" s="60" t="s">
        <v>384</v>
      </c>
      <c r="L13">
        <v>50</v>
      </c>
      <c r="M13">
        <v>30</v>
      </c>
      <c r="N13" t="s">
        <v>34</v>
      </c>
      <c r="O13" t="s">
        <v>35</v>
      </c>
      <c r="P13" t="s">
        <v>29</v>
      </c>
      <c r="Q13" t="s">
        <v>29</v>
      </c>
      <c r="R13">
        <v>5064</v>
      </c>
      <c r="S13">
        <v>9.7799999999999994</v>
      </c>
      <c r="T13">
        <v>9.4499999999999993</v>
      </c>
      <c r="U13">
        <f t="shared" si="2"/>
        <v>9.6149999999999984</v>
      </c>
      <c r="V13">
        <f t="shared" si="0"/>
        <v>480.74999999999994</v>
      </c>
      <c r="W13">
        <f t="shared" si="1"/>
        <v>0.48074999999999996</v>
      </c>
      <c r="X13">
        <v>2.0099999999999998</v>
      </c>
      <c r="Y13">
        <v>1.48</v>
      </c>
      <c r="Z13">
        <v>6</v>
      </c>
      <c r="AA13">
        <v>8560</v>
      </c>
      <c r="AB13" t="s">
        <v>314</v>
      </c>
      <c r="AC13">
        <v>23.285313299999999</v>
      </c>
      <c r="AD13">
        <v>11656.8465</v>
      </c>
      <c r="AE13">
        <v>826225</v>
      </c>
      <c r="AF13">
        <v>3857204</v>
      </c>
      <c r="AG13">
        <v>87.434600000000003</v>
      </c>
      <c r="AH13">
        <v>23.185700000000001</v>
      </c>
      <c r="AI13">
        <v>39.6</v>
      </c>
      <c r="AJ13">
        <v>60</v>
      </c>
      <c r="AK13" t="s">
        <v>233</v>
      </c>
      <c r="AL13" t="s">
        <v>235</v>
      </c>
    </row>
    <row r="14" spans="1:38" x14ac:dyDescent="0.15">
      <c r="A14" t="s">
        <v>255</v>
      </c>
      <c r="B14">
        <v>3</v>
      </c>
      <c r="C14" t="s">
        <v>50</v>
      </c>
      <c r="D14">
        <v>45428</v>
      </c>
      <c r="E14" t="s">
        <v>27</v>
      </c>
      <c r="F14" t="s">
        <v>59</v>
      </c>
      <c r="G14" t="s">
        <v>48</v>
      </c>
      <c r="H14" s="60" t="s">
        <v>380</v>
      </c>
      <c r="I14" s="60" t="s">
        <v>383</v>
      </c>
      <c r="J14" s="60" t="s">
        <v>384</v>
      </c>
      <c r="K14" s="60" t="s">
        <v>384</v>
      </c>
      <c r="L14">
        <v>50</v>
      </c>
      <c r="M14">
        <v>30</v>
      </c>
      <c r="N14" t="s">
        <v>34</v>
      </c>
      <c r="O14" t="s">
        <v>35</v>
      </c>
      <c r="P14" t="s">
        <v>29</v>
      </c>
      <c r="Q14" t="s">
        <v>29</v>
      </c>
      <c r="R14">
        <v>5073</v>
      </c>
      <c r="S14">
        <f>100*0.71</f>
        <v>71</v>
      </c>
      <c r="T14">
        <f>100*0.83</f>
        <v>83</v>
      </c>
      <c r="U14">
        <f t="shared" si="2"/>
        <v>77</v>
      </c>
      <c r="V14">
        <f t="shared" si="0"/>
        <v>3850</v>
      </c>
      <c r="W14">
        <f t="shared" si="1"/>
        <v>3.85</v>
      </c>
      <c r="X14">
        <v>1.94</v>
      </c>
      <c r="Y14">
        <v>2.38</v>
      </c>
      <c r="Z14">
        <v>2.4</v>
      </c>
      <c r="AA14" t="s">
        <v>93</v>
      </c>
      <c r="AB14" t="s">
        <v>315</v>
      </c>
      <c r="AC14">
        <v>34.930700199999997</v>
      </c>
      <c r="AD14">
        <v>5.5387460099999997</v>
      </c>
      <c r="AE14">
        <v>1867</v>
      </c>
      <c r="AF14">
        <v>15955</v>
      </c>
      <c r="AG14">
        <v>0.36166599999999999</v>
      </c>
      <c r="AH14">
        <v>4.66069E-2</v>
      </c>
      <c r="AI14">
        <v>39.700000000000003</v>
      </c>
      <c r="AJ14">
        <v>60</v>
      </c>
      <c r="AL14" t="s">
        <v>351</v>
      </c>
    </row>
    <row r="15" spans="1:38" x14ac:dyDescent="0.15">
      <c r="A15" t="s">
        <v>256</v>
      </c>
      <c r="B15">
        <v>4</v>
      </c>
      <c r="C15" t="s">
        <v>51</v>
      </c>
      <c r="D15">
        <v>45428</v>
      </c>
      <c r="E15" t="s">
        <v>27</v>
      </c>
      <c r="F15" t="s">
        <v>59</v>
      </c>
      <c r="G15" t="s">
        <v>48</v>
      </c>
      <c r="H15" s="60" t="s">
        <v>380</v>
      </c>
      <c r="I15" s="60" t="s">
        <v>383</v>
      </c>
      <c r="J15" s="60" t="s">
        <v>384</v>
      </c>
      <c r="K15" s="60" t="s">
        <v>384</v>
      </c>
      <c r="L15">
        <v>50</v>
      </c>
      <c r="M15">
        <v>30</v>
      </c>
      <c r="N15" t="s">
        <v>38</v>
      </c>
      <c r="O15" t="s">
        <v>35</v>
      </c>
      <c r="P15" t="s">
        <v>29</v>
      </c>
      <c r="Q15" t="s">
        <v>29</v>
      </c>
      <c r="R15">
        <v>5236</v>
      </c>
      <c r="S15">
        <v>5.48</v>
      </c>
      <c r="T15">
        <v>5.69</v>
      </c>
      <c r="U15">
        <f t="shared" si="2"/>
        <v>5.5850000000000009</v>
      </c>
      <c r="V15">
        <f t="shared" si="0"/>
        <v>279.25000000000006</v>
      </c>
      <c r="W15">
        <f t="shared" si="1"/>
        <v>0.27925000000000005</v>
      </c>
      <c r="X15">
        <v>1.98</v>
      </c>
      <c r="Y15">
        <v>2.21</v>
      </c>
      <c r="Z15">
        <v>5.8</v>
      </c>
      <c r="AA15">
        <v>14313</v>
      </c>
      <c r="AB15" t="s">
        <v>316</v>
      </c>
      <c r="AC15">
        <v>18.3323426</v>
      </c>
      <c r="AD15">
        <v>301980.33600000001</v>
      </c>
      <c r="AE15">
        <v>7090510</v>
      </c>
      <c r="AF15">
        <v>1953534</v>
      </c>
      <c r="AG15">
        <v>44.282400000000003</v>
      </c>
      <c r="AH15">
        <v>201.23400000000001</v>
      </c>
      <c r="AI15">
        <v>39.6</v>
      </c>
      <c r="AJ15">
        <v>60</v>
      </c>
      <c r="AL15" t="s">
        <v>230</v>
      </c>
    </row>
    <row r="16" spans="1:38" x14ac:dyDescent="0.15">
      <c r="A16" t="s">
        <v>257</v>
      </c>
      <c r="B16">
        <v>5</v>
      </c>
      <c r="C16" t="s">
        <v>52</v>
      </c>
      <c r="D16">
        <v>45428</v>
      </c>
      <c r="E16" t="s">
        <v>27</v>
      </c>
      <c r="F16" t="s">
        <v>59</v>
      </c>
      <c r="G16" t="s">
        <v>48</v>
      </c>
      <c r="H16" s="60" t="s">
        <v>380</v>
      </c>
      <c r="I16" s="60" t="s">
        <v>383</v>
      </c>
      <c r="J16" s="60" t="s">
        <v>384</v>
      </c>
      <c r="K16" s="60" t="s">
        <v>384</v>
      </c>
      <c r="L16">
        <v>50</v>
      </c>
      <c r="M16">
        <v>30</v>
      </c>
      <c r="N16" t="s">
        <v>38</v>
      </c>
      <c r="O16" t="s">
        <v>31</v>
      </c>
      <c r="P16" t="s">
        <v>40</v>
      </c>
      <c r="Q16" t="s">
        <v>32</v>
      </c>
      <c r="R16">
        <v>5408</v>
      </c>
      <c r="S16">
        <f>10*6.71</f>
        <v>67.099999999999994</v>
      </c>
      <c r="T16">
        <f>10*6.81</f>
        <v>68.099999999999994</v>
      </c>
      <c r="U16">
        <f t="shared" si="2"/>
        <v>67.599999999999994</v>
      </c>
      <c r="V16">
        <f t="shared" si="0"/>
        <v>3379.9999999999995</v>
      </c>
      <c r="W16">
        <f t="shared" si="1"/>
        <v>3.3799999999999994</v>
      </c>
      <c r="X16">
        <v>1.92</v>
      </c>
      <c r="Y16">
        <v>2.33</v>
      </c>
      <c r="Z16">
        <v>2.4</v>
      </c>
      <c r="AA16" t="s">
        <v>94</v>
      </c>
      <c r="AB16" t="s">
        <v>317</v>
      </c>
      <c r="AC16">
        <v>17.276885499999999</v>
      </c>
      <c r="AD16">
        <v>604181.88100000005</v>
      </c>
      <c r="AE16">
        <v>2125719</v>
      </c>
      <c r="AF16">
        <v>1354686</v>
      </c>
      <c r="AG16">
        <v>30.707799999999999</v>
      </c>
      <c r="AH16">
        <v>58.498399999999997</v>
      </c>
      <c r="AI16">
        <v>39.6</v>
      </c>
      <c r="AJ16">
        <v>60</v>
      </c>
      <c r="AL16" t="s">
        <v>230</v>
      </c>
    </row>
    <row r="17" spans="1:38" x14ac:dyDescent="0.15">
      <c r="A17" t="s">
        <v>258</v>
      </c>
      <c r="B17">
        <v>6</v>
      </c>
      <c r="C17" t="s">
        <v>53</v>
      </c>
      <c r="D17">
        <v>45428</v>
      </c>
      <c r="E17" t="s">
        <v>27</v>
      </c>
      <c r="F17" t="s">
        <v>59</v>
      </c>
      <c r="G17" t="s">
        <v>48</v>
      </c>
      <c r="H17" s="60" t="s">
        <v>380</v>
      </c>
      <c r="I17" s="60" t="s">
        <v>383</v>
      </c>
      <c r="J17" s="60" t="s">
        <v>384</v>
      </c>
      <c r="K17" s="60" t="s">
        <v>384</v>
      </c>
      <c r="L17">
        <v>50</v>
      </c>
      <c r="M17">
        <v>30</v>
      </c>
      <c r="N17" t="s">
        <v>38</v>
      </c>
      <c r="O17" t="s">
        <v>35</v>
      </c>
      <c r="P17" t="s">
        <v>29</v>
      </c>
      <c r="Q17" t="s">
        <v>29</v>
      </c>
      <c r="R17">
        <v>5492</v>
      </c>
      <c r="S17">
        <f>100*3.25</f>
        <v>325</v>
      </c>
      <c r="T17">
        <f>100*3.36</f>
        <v>336</v>
      </c>
      <c r="U17">
        <f t="shared" si="2"/>
        <v>330.5</v>
      </c>
      <c r="V17">
        <f t="shared" si="0"/>
        <v>16525</v>
      </c>
      <c r="W17">
        <f t="shared" si="1"/>
        <v>16.524999999999999</v>
      </c>
      <c r="X17">
        <v>1.89</v>
      </c>
      <c r="Y17">
        <v>2.15</v>
      </c>
      <c r="Z17">
        <v>3.1</v>
      </c>
      <c r="AA17">
        <v>1475</v>
      </c>
      <c r="AB17" t="s">
        <v>318</v>
      </c>
      <c r="AC17">
        <v>19.265677499999999</v>
      </c>
      <c r="AD17">
        <v>163545.59</v>
      </c>
      <c r="AE17">
        <v>3433</v>
      </c>
      <c r="AF17">
        <v>247923</v>
      </c>
      <c r="AG17">
        <v>5.6198800000000002</v>
      </c>
      <c r="AH17">
        <v>9.6591800000000005E-2</v>
      </c>
      <c r="AI17">
        <v>39.5</v>
      </c>
      <c r="AJ17">
        <v>60</v>
      </c>
      <c r="AL17" t="s">
        <v>351</v>
      </c>
    </row>
    <row r="18" spans="1:38" x14ac:dyDescent="0.15">
      <c r="A18" t="s">
        <v>259</v>
      </c>
      <c r="B18">
        <v>7</v>
      </c>
      <c r="C18" t="s">
        <v>54</v>
      </c>
      <c r="D18">
        <v>45428</v>
      </c>
      <c r="E18" t="s">
        <v>27</v>
      </c>
      <c r="F18" t="s">
        <v>59</v>
      </c>
      <c r="G18" t="s">
        <v>48</v>
      </c>
      <c r="H18" s="60" t="s">
        <v>380</v>
      </c>
      <c r="I18" s="60" t="s">
        <v>383</v>
      </c>
      <c r="J18" s="60" t="s">
        <v>384</v>
      </c>
      <c r="K18" s="60" t="s">
        <v>384</v>
      </c>
      <c r="L18">
        <v>50</v>
      </c>
      <c r="M18">
        <v>30</v>
      </c>
      <c r="N18" t="s">
        <v>43</v>
      </c>
      <c r="O18" t="s">
        <v>31</v>
      </c>
      <c r="P18" t="s">
        <v>40</v>
      </c>
      <c r="Q18" t="s">
        <v>32</v>
      </c>
      <c r="R18">
        <v>5597</v>
      </c>
      <c r="S18">
        <f>10*8.2</f>
        <v>82</v>
      </c>
      <c r="T18">
        <f>10*8.31</f>
        <v>83.100000000000009</v>
      </c>
      <c r="U18">
        <f t="shared" si="2"/>
        <v>82.550000000000011</v>
      </c>
      <c r="V18">
        <f t="shared" si="0"/>
        <v>4127.5000000000009</v>
      </c>
      <c r="W18">
        <f t="shared" si="1"/>
        <v>4.1275000000000013</v>
      </c>
      <c r="X18">
        <v>1.93</v>
      </c>
      <c r="Y18">
        <v>1.73</v>
      </c>
      <c r="Z18">
        <v>2.7</v>
      </c>
      <c r="AA18" t="s">
        <v>95</v>
      </c>
      <c r="AB18" t="s">
        <v>319</v>
      </c>
      <c r="AC18">
        <v>16.099943700000001</v>
      </c>
      <c r="AD18">
        <v>1309254.47</v>
      </c>
      <c r="AE18">
        <v>24853120</v>
      </c>
      <c r="AF18">
        <v>4117352</v>
      </c>
      <c r="AG18">
        <v>93.331599999999995</v>
      </c>
      <c r="AH18">
        <v>712.03</v>
      </c>
      <c r="AI18">
        <v>39.6</v>
      </c>
      <c r="AJ18">
        <v>60</v>
      </c>
      <c r="AL18" t="s">
        <v>355</v>
      </c>
    </row>
    <row r="19" spans="1:38" ht="14" customHeight="1" x14ac:dyDescent="0.15">
      <c r="A19" t="s">
        <v>260</v>
      </c>
      <c r="B19">
        <v>8</v>
      </c>
      <c r="C19" t="s">
        <v>55</v>
      </c>
      <c r="D19">
        <v>45428</v>
      </c>
      <c r="E19" t="s">
        <v>27</v>
      </c>
      <c r="F19" t="s">
        <v>59</v>
      </c>
      <c r="G19" t="s">
        <v>48</v>
      </c>
      <c r="H19" s="60" t="s">
        <v>380</v>
      </c>
      <c r="I19" s="60" t="s">
        <v>383</v>
      </c>
      <c r="J19" s="60" t="s">
        <v>384</v>
      </c>
      <c r="K19" s="60" t="s">
        <v>384</v>
      </c>
      <c r="L19">
        <v>50</v>
      </c>
      <c r="M19">
        <v>30</v>
      </c>
      <c r="N19" t="s">
        <v>34</v>
      </c>
      <c r="O19" t="s">
        <v>35</v>
      </c>
      <c r="P19" t="s">
        <v>29</v>
      </c>
      <c r="Q19" t="s">
        <v>29</v>
      </c>
      <c r="R19">
        <v>5638</v>
      </c>
      <c r="S19">
        <v>3.18</v>
      </c>
      <c r="T19">
        <v>3.17</v>
      </c>
      <c r="U19">
        <f t="shared" si="2"/>
        <v>3.1749999999999998</v>
      </c>
      <c r="V19">
        <f t="shared" si="0"/>
        <v>158.75</v>
      </c>
      <c r="W19">
        <f t="shared" si="1"/>
        <v>0.15875</v>
      </c>
      <c r="X19">
        <v>1.89</v>
      </c>
      <c r="Y19">
        <v>0.66</v>
      </c>
      <c r="Z19">
        <v>2.2999999999999998</v>
      </c>
      <c r="AA19">
        <v>973</v>
      </c>
      <c r="AB19" t="s">
        <v>320</v>
      </c>
      <c r="AC19">
        <v>24.508353</v>
      </c>
      <c r="AD19">
        <v>5218.7926100000004</v>
      </c>
      <c r="AE19">
        <v>2823873</v>
      </c>
      <c r="AF19">
        <v>4129451</v>
      </c>
      <c r="AG19">
        <v>93.605800000000002</v>
      </c>
      <c r="AH19">
        <v>80.751400000000004</v>
      </c>
      <c r="AI19">
        <v>39.5</v>
      </c>
      <c r="AJ19">
        <v>60</v>
      </c>
      <c r="AK19" t="s">
        <v>347</v>
      </c>
      <c r="AL19" t="s">
        <v>354</v>
      </c>
    </row>
    <row r="20" spans="1:38" x14ac:dyDescent="0.15">
      <c r="A20" t="s">
        <v>261</v>
      </c>
      <c r="B20">
        <v>9</v>
      </c>
      <c r="C20" t="s">
        <v>56</v>
      </c>
      <c r="D20">
        <v>45428</v>
      </c>
      <c r="E20" t="s">
        <v>27</v>
      </c>
      <c r="F20" t="s">
        <v>59</v>
      </c>
      <c r="G20" t="s">
        <v>48</v>
      </c>
      <c r="H20" s="60" t="s">
        <v>380</v>
      </c>
      <c r="I20" s="60" t="s">
        <v>383</v>
      </c>
      <c r="J20" s="60" t="s">
        <v>384</v>
      </c>
      <c r="K20" s="60" t="s">
        <v>384</v>
      </c>
      <c r="L20">
        <v>50</v>
      </c>
      <c r="M20">
        <v>30</v>
      </c>
      <c r="N20" t="s">
        <v>34</v>
      </c>
      <c r="O20" t="s">
        <v>35</v>
      </c>
      <c r="P20" t="s">
        <v>29</v>
      </c>
      <c r="Q20" t="s">
        <v>29</v>
      </c>
      <c r="R20">
        <v>5647</v>
      </c>
      <c r="S20">
        <v>2.4</v>
      </c>
      <c r="T20">
        <v>2.35</v>
      </c>
      <c r="U20">
        <f t="shared" si="2"/>
        <v>2.375</v>
      </c>
      <c r="V20">
        <f t="shared" si="0"/>
        <v>118.75</v>
      </c>
      <c r="W20">
        <f t="shared" si="1"/>
        <v>0.11874999999999999</v>
      </c>
      <c r="X20">
        <v>1.61</v>
      </c>
      <c r="Y20">
        <v>0.43</v>
      </c>
      <c r="Z20">
        <v>4</v>
      </c>
      <c r="AA20">
        <v>14184</v>
      </c>
      <c r="AB20" t="s">
        <v>321</v>
      </c>
      <c r="AC20">
        <v>24.628617299999998</v>
      </c>
      <c r="AD20">
        <v>4822.2640499999998</v>
      </c>
      <c r="AE20">
        <v>924646</v>
      </c>
      <c r="AF20">
        <v>3865526</v>
      </c>
      <c r="AG20">
        <v>87.623199999999997</v>
      </c>
      <c r="AH20">
        <v>25.555399999999999</v>
      </c>
      <c r="AI20">
        <v>39.6</v>
      </c>
      <c r="AJ20">
        <v>60</v>
      </c>
      <c r="AL20" t="s">
        <v>352</v>
      </c>
    </row>
    <row r="21" spans="1:38" x14ac:dyDescent="0.15">
      <c r="A21" t="s">
        <v>262</v>
      </c>
      <c r="B21">
        <v>10</v>
      </c>
      <c r="C21" t="s">
        <v>57</v>
      </c>
      <c r="D21">
        <v>45428</v>
      </c>
      <c r="E21" t="s">
        <v>27</v>
      </c>
      <c r="F21" t="s">
        <v>59</v>
      </c>
      <c r="G21" t="s">
        <v>48</v>
      </c>
      <c r="H21" s="60" t="s">
        <v>380</v>
      </c>
      <c r="I21" s="60" t="s">
        <v>383</v>
      </c>
      <c r="J21" s="60" t="s">
        <v>384</v>
      </c>
      <c r="K21" s="60" t="s">
        <v>384</v>
      </c>
      <c r="L21">
        <v>25</v>
      </c>
      <c r="M21">
        <v>25</v>
      </c>
      <c r="N21" t="s">
        <v>43</v>
      </c>
      <c r="O21" t="s">
        <v>35</v>
      </c>
      <c r="P21" t="s">
        <v>29</v>
      </c>
      <c r="Q21" t="s">
        <v>29</v>
      </c>
      <c r="R21">
        <v>5791</v>
      </c>
      <c r="S21">
        <f>10*1.4</f>
        <v>14</v>
      </c>
      <c r="T21">
        <f>10*1.31</f>
        <v>13.100000000000001</v>
      </c>
      <c r="U21">
        <f t="shared" si="2"/>
        <v>13.55</v>
      </c>
      <c r="V21">
        <f t="shared" si="0"/>
        <v>338.75</v>
      </c>
      <c r="W21">
        <f t="shared" si="1"/>
        <v>0.33875</v>
      </c>
      <c r="X21">
        <v>1.52</v>
      </c>
      <c r="Y21">
        <v>0.49</v>
      </c>
      <c r="Z21">
        <v>1.1000000000000001</v>
      </c>
      <c r="AA21">
        <v>11969</v>
      </c>
      <c r="AB21" t="s">
        <v>322</v>
      </c>
      <c r="AC21">
        <v>20.573905</v>
      </c>
      <c r="AD21">
        <v>69233.822700000004</v>
      </c>
      <c r="AE21">
        <v>12205092</v>
      </c>
      <c r="AF21">
        <v>4299632</v>
      </c>
      <c r="AG21">
        <v>97.463499999999996</v>
      </c>
      <c r="AH21">
        <v>350.56099999999998</v>
      </c>
      <c r="AI21">
        <v>39.6</v>
      </c>
      <c r="AJ21">
        <v>60</v>
      </c>
      <c r="AL21" t="s">
        <v>356</v>
      </c>
    </row>
    <row r="22" spans="1:38" ht="16" customHeight="1" x14ac:dyDescent="0.15">
      <c r="A22" t="s">
        <v>263</v>
      </c>
      <c r="B22">
        <v>11</v>
      </c>
      <c r="C22" t="s">
        <v>58</v>
      </c>
      <c r="D22">
        <v>45435</v>
      </c>
      <c r="E22" s="60" t="s">
        <v>382</v>
      </c>
      <c r="F22" t="s">
        <v>59</v>
      </c>
      <c r="G22" t="s">
        <v>60</v>
      </c>
      <c r="H22" s="60" t="s">
        <v>380</v>
      </c>
      <c r="I22" s="60" t="s">
        <v>384</v>
      </c>
      <c r="J22" s="60" t="s">
        <v>383</v>
      </c>
      <c r="K22" s="60" t="s">
        <v>385</v>
      </c>
      <c r="L22">
        <v>50</v>
      </c>
      <c r="M22">
        <v>30</v>
      </c>
      <c r="N22" t="s">
        <v>38</v>
      </c>
      <c r="O22" t="s">
        <v>31</v>
      </c>
      <c r="P22" t="s">
        <v>40</v>
      </c>
      <c r="Q22" t="s">
        <v>61</v>
      </c>
      <c r="R22" t="s">
        <v>62</v>
      </c>
      <c r="S22">
        <v>45</v>
      </c>
      <c r="T22">
        <v>45</v>
      </c>
      <c r="U22">
        <f t="shared" si="2"/>
        <v>45</v>
      </c>
      <c r="V22">
        <f t="shared" si="0"/>
        <v>2250</v>
      </c>
      <c r="W22">
        <f t="shared" si="1"/>
        <v>2.25</v>
      </c>
      <c r="X22">
        <v>1.79</v>
      </c>
      <c r="Y22">
        <v>1.63</v>
      </c>
      <c r="Z22" t="s">
        <v>63</v>
      </c>
      <c r="AA22" t="s">
        <v>63</v>
      </c>
      <c r="AB22" t="s">
        <v>323</v>
      </c>
      <c r="AC22">
        <v>21.664846199999999</v>
      </c>
      <c r="AD22">
        <v>33806.749600000003</v>
      </c>
      <c r="AE22">
        <v>466324</v>
      </c>
      <c r="AF22">
        <v>3742358</v>
      </c>
      <c r="AG22">
        <v>84.831299999999999</v>
      </c>
      <c r="AH22">
        <v>13.325799999999999</v>
      </c>
      <c r="AI22">
        <v>39.5</v>
      </c>
      <c r="AJ22">
        <v>60</v>
      </c>
      <c r="AK22" t="s">
        <v>348</v>
      </c>
      <c r="AL22" t="s">
        <v>354</v>
      </c>
    </row>
    <row r="23" spans="1:38" x14ac:dyDescent="0.15">
      <c r="A23" t="s">
        <v>264</v>
      </c>
      <c r="B23">
        <v>12</v>
      </c>
      <c r="C23" t="s">
        <v>64</v>
      </c>
      <c r="D23">
        <v>45435</v>
      </c>
      <c r="E23" s="60" t="s">
        <v>382</v>
      </c>
      <c r="F23" t="s">
        <v>59</v>
      </c>
      <c r="G23" t="s">
        <v>60</v>
      </c>
      <c r="H23" s="60" t="s">
        <v>380</v>
      </c>
      <c r="I23" s="60" t="s">
        <v>384</v>
      </c>
      <c r="J23" s="60" t="s">
        <v>383</v>
      </c>
      <c r="K23" s="60" t="s">
        <v>385</v>
      </c>
      <c r="L23">
        <v>50</v>
      </c>
      <c r="M23">
        <v>30</v>
      </c>
      <c r="N23" t="s">
        <v>38</v>
      </c>
      <c r="O23" t="s">
        <v>35</v>
      </c>
      <c r="P23" t="s">
        <v>29</v>
      </c>
      <c r="Q23" t="s">
        <v>29</v>
      </c>
      <c r="R23" t="s">
        <v>65</v>
      </c>
      <c r="S23">
        <f>20*9.4</f>
        <v>188</v>
      </c>
      <c r="T23">
        <f>20*9.28</f>
        <v>185.6</v>
      </c>
      <c r="U23">
        <f t="shared" si="2"/>
        <v>186.8</v>
      </c>
      <c r="V23">
        <f t="shared" si="0"/>
        <v>9340</v>
      </c>
      <c r="W23">
        <f t="shared" si="1"/>
        <v>9.34</v>
      </c>
      <c r="X23">
        <v>1.64</v>
      </c>
      <c r="Y23">
        <v>1.72</v>
      </c>
      <c r="Z23">
        <v>1.2</v>
      </c>
      <c r="AA23">
        <v>196</v>
      </c>
      <c r="AB23" t="s">
        <v>324</v>
      </c>
      <c r="AC23">
        <v>21.961813100000001</v>
      </c>
      <c r="AD23">
        <v>27813.7709</v>
      </c>
      <c r="AE23">
        <v>4960211</v>
      </c>
      <c r="AF23">
        <v>3240181</v>
      </c>
      <c r="AG23">
        <v>73.447999999999993</v>
      </c>
      <c r="AH23">
        <v>142</v>
      </c>
      <c r="AI23">
        <v>39.6</v>
      </c>
      <c r="AJ23">
        <v>60</v>
      </c>
      <c r="AL23" t="s">
        <v>235</v>
      </c>
    </row>
    <row r="24" spans="1:38" x14ac:dyDescent="0.15">
      <c r="A24" t="s">
        <v>265</v>
      </c>
      <c r="B24">
        <v>13</v>
      </c>
      <c r="C24" t="s">
        <v>66</v>
      </c>
      <c r="D24">
        <v>45435</v>
      </c>
      <c r="E24" s="60" t="s">
        <v>382</v>
      </c>
      <c r="F24" t="s">
        <v>59</v>
      </c>
      <c r="G24" t="s">
        <v>60</v>
      </c>
      <c r="H24" s="60" t="s">
        <v>380</v>
      </c>
      <c r="I24" s="60" t="s">
        <v>384</v>
      </c>
      <c r="J24" s="60" t="s">
        <v>383</v>
      </c>
      <c r="K24" s="60" t="s">
        <v>385</v>
      </c>
      <c r="L24">
        <v>50</v>
      </c>
      <c r="M24">
        <v>30</v>
      </c>
      <c r="N24" t="s">
        <v>43</v>
      </c>
      <c r="O24" t="s">
        <v>35</v>
      </c>
      <c r="P24" t="s">
        <v>29</v>
      </c>
      <c r="Q24" t="s">
        <v>29</v>
      </c>
      <c r="R24" t="s">
        <v>67</v>
      </c>
      <c r="S24">
        <f>20*6.18</f>
        <v>123.6</v>
      </c>
      <c r="T24">
        <f>20*5.94</f>
        <v>118.80000000000001</v>
      </c>
      <c r="U24">
        <f t="shared" si="2"/>
        <v>121.2</v>
      </c>
      <c r="V24">
        <f t="shared" si="0"/>
        <v>6060</v>
      </c>
      <c r="W24">
        <f t="shared" si="1"/>
        <v>6.06</v>
      </c>
      <c r="X24">
        <v>1.59</v>
      </c>
      <c r="Y24">
        <v>1.64</v>
      </c>
      <c r="Z24">
        <v>1.7</v>
      </c>
      <c r="AA24">
        <v>387</v>
      </c>
      <c r="AB24" t="s">
        <v>325</v>
      </c>
      <c r="AC24">
        <v>19.0965481</v>
      </c>
      <c r="AD24">
        <v>182768.86799999999</v>
      </c>
      <c r="AE24">
        <v>14772609</v>
      </c>
      <c r="AF24">
        <v>4229134</v>
      </c>
      <c r="AG24">
        <v>95.865399999999994</v>
      </c>
      <c r="AH24">
        <v>432.78800000000001</v>
      </c>
      <c r="AI24">
        <v>39.6</v>
      </c>
      <c r="AJ24">
        <v>60</v>
      </c>
      <c r="AL24" t="s">
        <v>232</v>
      </c>
    </row>
    <row r="25" spans="1:38" x14ac:dyDescent="0.15">
      <c r="A25" t="s">
        <v>266</v>
      </c>
      <c r="B25">
        <v>14</v>
      </c>
      <c r="C25" t="s">
        <v>68</v>
      </c>
      <c r="D25">
        <v>45435</v>
      </c>
      <c r="E25" s="60" t="s">
        <v>382</v>
      </c>
      <c r="F25" t="s">
        <v>59</v>
      </c>
      <c r="G25" t="s">
        <v>60</v>
      </c>
      <c r="H25" s="60" t="s">
        <v>380</v>
      </c>
      <c r="I25" s="60" t="s">
        <v>384</v>
      </c>
      <c r="J25" s="60" t="s">
        <v>383</v>
      </c>
      <c r="K25" s="60" t="s">
        <v>385</v>
      </c>
      <c r="L25">
        <v>50</v>
      </c>
      <c r="M25">
        <v>30</v>
      </c>
      <c r="N25" t="s">
        <v>34</v>
      </c>
      <c r="O25" t="s">
        <v>35</v>
      </c>
      <c r="P25" t="s">
        <v>29</v>
      </c>
      <c r="Q25" t="s">
        <v>29</v>
      </c>
      <c r="R25" t="s">
        <v>69</v>
      </c>
      <c r="S25">
        <f>20*7.58</f>
        <v>151.6</v>
      </c>
      <c r="T25">
        <f>20*7.92</f>
        <v>158.4</v>
      </c>
      <c r="U25">
        <f t="shared" si="2"/>
        <v>155</v>
      </c>
      <c r="V25">
        <f t="shared" si="0"/>
        <v>7750</v>
      </c>
      <c r="W25">
        <f t="shared" si="1"/>
        <v>7.75</v>
      </c>
      <c r="X25">
        <v>1.69</v>
      </c>
      <c r="Y25">
        <v>1.69</v>
      </c>
      <c r="Z25" t="s">
        <v>63</v>
      </c>
      <c r="AA25" t="s">
        <v>63</v>
      </c>
      <c r="AB25" t="s">
        <v>326</v>
      </c>
      <c r="AC25">
        <v>21.573182200000002</v>
      </c>
      <c r="AD25">
        <v>35905.499799999998</v>
      </c>
      <c r="AE25">
        <v>2022780</v>
      </c>
      <c r="AF25">
        <v>3909872</v>
      </c>
      <c r="AG25">
        <v>88.628399999999999</v>
      </c>
      <c r="AH25">
        <v>57.3429</v>
      </c>
      <c r="AI25">
        <v>39.6</v>
      </c>
      <c r="AJ25">
        <v>60</v>
      </c>
      <c r="AK25" t="s">
        <v>349</v>
      </c>
      <c r="AL25" t="s">
        <v>354</v>
      </c>
    </row>
    <row r="26" spans="1:38" x14ac:dyDescent="0.15">
      <c r="A26" t="s">
        <v>267</v>
      </c>
      <c r="B26">
        <v>15</v>
      </c>
      <c r="C26" t="s">
        <v>70</v>
      </c>
      <c r="D26">
        <v>45435</v>
      </c>
      <c r="E26" s="60" t="s">
        <v>382</v>
      </c>
      <c r="F26" t="s">
        <v>59</v>
      </c>
      <c r="G26" t="s">
        <v>60</v>
      </c>
      <c r="H26" s="60" t="s">
        <v>380</v>
      </c>
      <c r="I26" s="60" t="s">
        <v>384</v>
      </c>
      <c r="J26" s="60" t="s">
        <v>383</v>
      </c>
      <c r="K26" s="60" t="s">
        <v>385</v>
      </c>
      <c r="L26">
        <v>50</v>
      </c>
      <c r="M26">
        <v>30</v>
      </c>
      <c r="N26" t="s">
        <v>43</v>
      </c>
      <c r="O26" t="s">
        <v>35</v>
      </c>
      <c r="P26" t="s">
        <v>29</v>
      </c>
      <c r="Q26" t="s">
        <v>29</v>
      </c>
      <c r="R26" t="s">
        <v>71</v>
      </c>
      <c r="S26">
        <f>20*29</f>
        <v>580</v>
      </c>
      <c r="T26">
        <f>20*30.6</f>
        <v>612</v>
      </c>
      <c r="U26">
        <f t="shared" si="2"/>
        <v>596</v>
      </c>
      <c r="V26">
        <f t="shared" si="0"/>
        <v>29800</v>
      </c>
      <c r="W26">
        <f t="shared" si="1"/>
        <v>29.8</v>
      </c>
      <c r="X26">
        <v>1.83</v>
      </c>
      <c r="Y26">
        <v>1.78</v>
      </c>
      <c r="Z26" t="s">
        <v>63</v>
      </c>
      <c r="AA26" t="s">
        <v>63</v>
      </c>
      <c r="AB26" t="s">
        <v>327</v>
      </c>
      <c r="AC26">
        <v>14.221773300000001</v>
      </c>
      <c r="AD26">
        <v>4497648.7699999996</v>
      </c>
      <c r="AE26">
        <v>473572</v>
      </c>
      <c r="AF26">
        <v>3648949</v>
      </c>
      <c r="AG26">
        <v>82.713899999999995</v>
      </c>
      <c r="AH26">
        <v>12.4412</v>
      </c>
      <c r="AI26">
        <v>39.5</v>
      </c>
      <c r="AJ26">
        <v>60</v>
      </c>
      <c r="AL26" t="s">
        <v>238</v>
      </c>
    </row>
    <row r="27" spans="1:38" x14ac:dyDescent="0.15">
      <c r="A27" t="s">
        <v>268</v>
      </c>
      <c r="B27">
        <v>16</v>
      </c>
      <c r="C27" t="s">
        <v>72</v>
      </c>
      <c r="D27">
        <v>45435</v>
      </c>
      <c r="E27" s="60" t="s">
        <v>382</v>
      </c>
      <c r="F27" t="s">
        <v>59</v>
      </c>
      <c r="G27" t="s">
        <v>60</v>
      </c>
      <c r="H27" s="60" t="s">
        <v>380</v>
      </c>
      <c r="I27" s="60" t="s">
        <v>384</v>
      </c>
      <c r="J27" s="60" t="s">
        <v>383</v>
      </c>
      <c r="K27" s="60" t="s">
        <v>385</v>
      </c>
      <c r="L27">
        <v>50</v>
      </c>
      <c r="M27">
        <v>30</v>
      </c>
      <c r="N27" t="s">
        <v>43</v>
      </c>
      <c r="O27" t="s">
        <v>35</v>
      </c>
      <c r="P27" t="s">
        <v>29</v>
      </c>
      <c r="Q27" t="s">
        <v>29</v>
      </c>
      <c r="R27">
        <v>5791</v>
      </c>
      <c r="S27">
        <f>20*13.8</f>
        <v>276</v>
      </c>
      <c r="T27">
        <f>20*14.5</f>
        <v>290</v>
      </c>
      <c r="U27">
        <f t="shared" si="2"/>
        <v>283</v>
      </c>
      <c r="V27">
        <f t="shared" si="0"/>
        <v>14150</v>
      </c>
      <c r="W27">
        <f t="shared" si="1"/>
        <v>14.15</v>
      </c>
      <c r="X27">
        <v>1.74</v>
      </c>
      <c r="Y27">
        <v>1.75</v>
      </c>
      <c r="Z27">
        <v>2.1</v>
      </c>
      <c r="AA27" t="s">
        <v>96</v>
      </c>
      <c r="AB27" t="s">
        <v>328</v>
      </c>
      <c r="AC27">
        <v>15.769878</v>
      </c>
      <c r="AD27">
        <v>1626345.47</v>
      </c>
      <c r="AE27">
        <v>299415</v>
      </c>
      <c r="AF27">
        <v>3932346</v>
      </c>
      <c r="AG27">
        <v>89.137900000000002</v>
      </c>
      <c r="AH27">
        <v>8.7311200000000007</v>
      </c>
      <c r="AI27">
        <v>39.5</v>
      </c>
      <c r="AJ27">
        <v>60</v>
      </c>
      <c r="AL27" t="s">
        <v>354</v>
      </c>
    </row>
    <row r="28" spans="1:38" x14ac:dyDescent="0.15">
      <c r="A28" t="s">
        <v>269</v>
      </c>
      <c r="B28">
        <v>17</v>
      </c>
      <c r="C28" t="s">
        <v>73</v>
      </c>
      <c r="D28">
        <v>45435</v>
      </c>
      <c r="E28" s="60" t="s">
        <v>382</v>
      </c>
      <c r="F28" t="s">
        <v>59</v>
      </c>
      <c r="G28" t="s">
        <v>60</v>
      </c>
      <c r="H28" s="60" t="s">
        <v>380</v>
      </c>
      <c r="I28" s="60" t="s">
        <v>384</v>
      </c>
      <c r="J28" s="60" t="s">
        <v>383</v>
      </c>
      <c r="K28" s="60" t="s">
        <v>385</v>
      </c>
      <c r="L28">
        <v>50</v>
      </c>
      <c r="M28">
        <v>30</v>
      </c>
      <c r="N28" t="s">
        <v>38</v>
      </c>
      <c r="O28" t="s">
        <v>31</v>
      </c>
      <c r="P28" t="s">
        <v>74</v>
      </c>
      <c r="Q28" t="s">
        <v>32</v>
      </c>
      <c r="R28">
        <v>5762</v>
      </c>
      <c r="S28">
        <v>79.599999999999994</v>
      </c>
      <c r="T28">
        <v>76.599999999999994</v>
      </c>
      <c r="U28">
        <f t="shared" si="2"/>
        <v>78.099999999999994</v>
      </c>
      <c r="V28">
        <f t="shared" si="0"/>
        <v>3904.9999999999995</v>
      </c>
      <c r="W28">
        <f t="shared" si="1"/>
        <v>3.9049999999999994</v>
      </c>
      <c r="X28">
        <v>1.73</v>
      </c>
      <c r="Y28">
        <v>1.63</v>
      </c>
      <c r="Z28">
        <v>2.1</v>
      </c>
      <c r="AA28" t="s">
        <v>97</v>
      </c>
      <c r="AB28" t="s">
        <v>329</v>
      </c>
      <c r="AC28">
        <v>24.669577499999999</v>
      </c>
      <c r="AD28">
        <v>4694.2090600000001</v>
      </c>
      <c r="AE28">
        <v>705620</v>
      </c>
      <c r="AF28">
        <v>3635371</v>
      </c>
      <c r="AG28">
        <v>82.406099999999995</v>
      </c>
      <c r="AH28">
        <v>19.095600000000001</v>
      </c>
      <c r="AI28">
        <v>39.6</v>
      </c>
      <c r="AJ28">
        <v>60</v>
      </c>
      <c r="AK28" t="s">
        <v>349</v>
      </c>
      <c r="AL28" t="s">
        <v>235</v>
      </c>
    </row>
    <row r="29" spans="1:38" x14ac:dyDescent="0.15">
      <c r="A29" t="s">
        <v>270</v>
      </c>
      <c r="B29">
        <v>18</v>
      </c>
      <c r="C29" t="s">
        <v>75</v>
      </c>
      <c r="D29">
        <v>45435</v>
      </c>
      <c r="E29" s="60" t="s">
        <v>382</v>
      </c>
      <c r="F29" t="s">
        <v>59</v>
      </c>
      <c r="G29" t="s">
        <v>60</v>
      </c>
      <c r="H29" s="60" t="s">
        <v>380</v>
      </c>
      <c r="I29" s="60" t="s">
        <v>384</v>
      </c>
      <c r="J29" s="60" t="s">
        <v>383</v>
      </c>
      <c r="K29" s="60" t="s">
        <v>385</v>
      </c>
      <c r="L29">
        <v>80</v>
      </c>
      <c r="M29">
        <v>30</v>
      </c>
      <c r="N29" t="s">
        <v>38</v>
      </c>
      <c r="O29" t="s">
        <v>35</v>
      </c>
      <c r="P29" t="s">
        <v>29</v>
      </c>
      <c r="Q29" t="s">
        <v>29</v>
      </c>
      <c r="R29">
        <v>5492</v>
      </c>
      <c r="S29">
        <f>20*48.8</f>
        <v>976</v>
      </c>
      <c r="T29">
        <f>10*55.6</f>
        <v>556</v>
      </c>
      <c r="U29">
        <f t="shared" si="2"/>
        <v>766</v>
      </c>
      <c r="V29">
        <f t="shared" si="0"/>
        <v>61280</v>
      </c>
      <c r="W29">
        <f t="shared" si="1"/>
        <v>61.28</v>
      </c>
      <c r="X29">
        <v>1.77</v>
      </c>
      <c r="Y29">
        <v>1.88</v>
      </c>
      <c r="Z29" t="s">
        <v>63</v>
      </c>
      <c r="AA29" t="s">
        <v>63</v>
      </c>
      <c r="AB29" t="s">
        <v>330</v>
      </c>
      <c r="AC29">
        <v>21.406874500000001</v>
      </c>
      <c r="AD29">
        <v>40051.533000000003</v>
      </c>
      <c r="AE29">
        <v>2001828</v>
      </c>
      <c r="AF29">
        <v>477601</v>
      </c>
      <c r="AG29">
        <v>10.8262</v>
      </c>
      <c r="AH29">
        <v>53.933700000000002</v>
      </c>
      <c r="AI29">
        <v>39.6</v>
      </c>
      <c r="AJ29">
        <v>60</v>
      </c>
      <c r="AL29" t="s">
        <v>236</v>
      </c>
    </row>
    <row r="30" spans="1:38" x14ac:dyDescent="0.15">
      <c r="A30" t="s">
        <v>271</v>
      </c>
      <c r="B30">
        <v>19</v>
      </c>
      <c r="C30" t="s">
        <v>76</v>
      </c>
      <c r="D30">
        <v>45435</v>
      </c>
      <c r="E30" s="60" t="s">
        <v>382</v>
      </c>
      <c r="F30" t="s">
        <v>59</v>
      </c>
      <c r="G30" t="s">
        <v>60</v>
      </c>
      <c r="H30" s="60" t="s">
        <v>380</v>
      </c>
      <c r="I30" s="60" t="s">
        <v>384</v>
      </c>
      <c r="J30" s="60" t="s">
        <v>383</v>
      </c>
      <c r="K30" s="60" t="s">
        <v>385</v>
      </c>
      <c r="L30">
        <v>80</v>
      </c>
      <c r="M30">
        <v>30</v>
      </c>
      <c r="N30" t="s">
        <v>34</v>
      </c>
      <c r="O30" t="s">
        <v>35</v>
      </c>
      <c r="P30" t="s">
        <v>29</v>
      </c>
      <c r="Q30" t="s">
        <v>29</v>
      </c>
      <c r="R30">
        <v>5073</v>
      </c>
      <c r="S30">
        <f>100*51.6</f>
        <v>5160</v>
      </c>
      <c r="T30">
        <f>100*50.4</f>
        <v>5040</v>
      </c>
      <c r="U30">
        <f t="shared" si="2"/>
        <v>5100</v>
      </c>
      <c r="V30">
        <f t="shared" si="0"/>
        <v>408000</v>
      </c>
      <c r="W30">
        <f t="shared" si="1"/>
        <v>408</v>
      </c>
      <c r="X30">
        <v>1.82</v>
      </c>
      <c r="Y30">
        <v>2.11</v>
      </c>
      <c r="Z30" t="s">
        <v>63</v>
      </c>
      <c r="AA30" t="s">
        <v>63</v>
      </c>
      <c r="AB30" t="s">
        <v>331</v>
      </c>
      <c r="AC30">
        <v>18.670529500000001</v>
      </c>
      <c r="AD30">
        <v>241808.978</v>
      </c>
      <c r="AE30">
        <v>1714</v>
      </c>
      <c r="AF30">
        <v>134684</v>
      </c>
      <c r="AG30">
        <v>3.0529999999999999</v>
      </c>
      <c r="AH30">
        <v>4.8584299999999997E-2</v>
      </c>
      <c r="AI30">
        <v>39.5</v>
      </c>
      <c r="AJ30">
        <v>60</v>
      </c>
      <c r="AL30" t="s">
        <v>351</v>
      </c>
    </row>
    <row r="31" spans="1:38" x14ac:dyDescent="0.15">
      <c r="A31" t="s">
        <v>272</v>
      </c>
      <c r="B31">
        <v>20</v>
      </c>
      <c r="C31" t="s">
        <v>77</v>
      </c>
      <c r="D31">
        <v>45435</v>
      </c>
      <c r="E31" s="60" t="s">
        <v>382</v>
      </c>
      <c r="F31" t="s">
        <v>59</v>
      </c>
      <c r="G31" t="s">
        <v>60</v>
      </c>
      <c r="H31" s="60" t="s">
        <v>380</v>
      </c>
      <c r="I31" s="60" t="s">
        <v>384</v>
      </c>
      <c r="J31" s="60" t="s">
        <v>383</v>
      </c>
      <c r="K31" s="60" t="s">
        <v>385</v>
      </c>
      <c r="L31">
        <v>50</v>
      </c>
      <c r="M31">
        <v>30</v>
      </c>
      <c r="N31" t="s">
        <v>78</v>
      </c>
      <c r="O31" t="s">
        <v>31</v>
      </c>
      <c r="P31" t="s">
        <v>32</v>
      </c>
      <c r="Q31" t="s">
        <v>29</v>
      </c>
      <c r="R31">
        <v>4018</v>
      </c>
      <c r="S31">
        <f>20*1.61</f>
        <v>32.200000000000003</v>
      </c>
      <c r="T31">
        <f>20*1.51</f>
        <v>30.2</v>
      </c>
      <c r="U31">
        <f t="shared" si="2"/>
        <v>31.200000000000003</v>
      </c>
      <c r="V31">
        <f t="shared" si="0"/>
        <v>1560.0000000000002</v>
      </c>
      <c r="W31">
        <f t="shared" si="1"/>
        <v>1.5600000000000003</v>
      </c>
      <c r="X31">
        <v>1.53</v>
      </c>
      <c r="Y31">
        <v>1.35</v>
      </c>
      <c r="Z31" t="s">
        <v>63</v>
      </c>
      <c r="AA31" t="s">
        <v>63</v>
      </c>
      <c r="AB31" t="s">
        <v>332</v>
      </c>
      <c r="AC31">
        <v>27.203522899999999</v>
      </c>
      <c r="AD31">
        <v>888.10977800000001</v>
      </c>
      <c r="AE31">
        <v>30577</v>
      </c>
      <c r="AF31">
        <v>1246820</v>
      </c>
      <c r="AG31">
        <v>28.262699999999999</v>
      </c>
      <c r="AH31">
        <v>0.85397900000000004</v>
      </c>
      <c r="AI31">
        <v>39.6</v>
      </c>
      <c r="AJ31">
        <v>60</v>
      </c>
      <c r="AK31" t="s">
        <v>350</v>
      </c>
      <c r="AL31" t="s">
        <v>235</v>
      </c>
    </row>
    <row r="32" spans="1:38" ht="17.5" customHeight="1" x14ac:dyDescent="0.15">
      <c r="A32" t="s">
        <v>273</v>
      </c>
      <c r="B32">
        <v>11</v>
      </c>
      <c r="C32" t="s">
        <v>79</v>
      </c>
      <c r="D32">
        <v>45435</v>
      </c>
      <c r="E32" s="60" t="s">
        <v>382</v>
      </c>
      <c r="F32" t="s">
        <v>59</v>
      </c>
      <c r="G32" t="s">
        <v>80</v>
      </c>
      <c r="H32" s="60" t="s">
        <v>380</v>
      </c>
      <c r="I32" s="60" t="s">
        <v>384</v>
      </c>
      <c r="J32" s="60" t="s">
        <v>384</v>
      </c>
      <c r="K32" s="60" t="s">
        <v>386</v>
      </c>
      <c r="L32">
        <v>50</v>
      </c>
      <c r="M32">
        <v>30</v>
      </c>
      <c r="N32" t="s">
        <v>38</v>
      </c>
      <c r="O32" t="s">
        <v>31</v>
      </c>
      <c r="P32" t="s">
        <v>40</v>
      </c>
      <c r="Q32" t="s">
        <v>61</v>
      </c>
      <c r="R32">
        <v>5918</v>
      </c>
      <c r="S32">
        <f>20*1.69</f>
        <v>33.799999999999997</v>
      </c>
      <c r="T32">
        <f>20*1.66</f>
        <v>33.199999999999996</v>
      </c>
      <c r="U32">
        <f t="shared" si="2"/>
        <v>33.5</v>
      </c>
      <c r="V32">
        <f t="shared" si="0"/>
        <v>1675</v>
      </c>
      <c r="W32">
        <f t="shared" si="1"/>
        <v>1.675</v>
      </c>
      <c r="X32">
        <v>1.55</v>
      </c>
      <c r="Y32">
        <v>1.63</v>
      </c>
      <c r="Z32" t="s">
        <v>63</v>
      </c>
      <c r="AA32" t="s">
        <v>63</v>
      </c>
      <c r="AB32" t="s">
        <v>333</v>
      </c>
      <c r="AC32">
        <v>21.813039199999999</v>
      </c>
      <c r="AD32">
        <v>30670.0514</v>
      </c>
      <c r="AE32">
        <v>1002108</v>
      </c>
      <c r="AF32">
        <v>4054547</v>
      </c>
      <c r="AG32">
        <v>91.907899999999998</v>
      </c>
      <c r="AH32">
        <v>28.658999999999999</v>
      </c>
      <c r="AI32">
        <v>39.5</v>
      </c>
      <c r="AJ32">
        <v>60</v>
      </c>
      <c r="AK32" t="s">
        <v>348</v>
      </c>
      <c r="AL32" t="s">
        <v>354</v>
      </c>
    </row>
    <row r="33" spans="1:38" x14ac:dyDescent="0.15">
      <c r="A33" t="s">
        <v>274</v>
      </c>
      <c r="B33">
        <v>12</v>
      </c>
      <c r="C33" t="s">
        <v>81</v>
      </c>
      <c r="D33">
        <v>45435</v>
      </c>
      <c r="E33" s="60" t="s">
        <v>382</v>
      </c>
      <c r="F33" t="s">
        <v>59</v>
      </c>
      <c r="G33" t="s">
        <v>80</v>
      </c>
      <c r="H33" s="60" t="s">
        <v>380</v>
      </c>
      <c r="I33" s="60" t="s">
        <v>384</v>
      </c>
      <c r="J33" s="60" t="s">
        <v>384</v>
      </c>
      <c r="K33" s="60" t="s">
        <v>386</v>
      </c>
      <c r="L33">
        <v>50</v>
      </c>
      <c r="M33">
        <v>30</v>
      </c>
      <c r="N33" t="s">
        <v>38</v>
      </c>
      <c r="O33" t="s">
        <v>35</v>
      </c>
      <c r="P33" t="s">
        <v>29</v>
      </c>
      <c r="Q33" t="s">
        <v>29</v>
      </c>
      <c r="R33">
        <v>5868</v>
      </c>
      <c r="S33">
        <f>20*7.34</f>
        <v>146.80000000000001</v>
      </c>
      <c r="T33">
        <f>20*8.1</f>
        <v>162</v>
      </c>
      <c r="U33">
        <f t="shared" si="2"/>
        <v>154.4</v>
      </c>
      <c r="V33">
        <f t="shared" si="0"/>
        <v>7720</v>
      </c>
      <c r="W33">
        <f t="shared" si="1"/>
        <v>7.72</v>
      </c>
      <c r="X33">
        <v>1.85</v>
      </c>
      <c r="Y33">
        <v>2.66</v>
      </c>
      <c r="Z33">
        <v>1.3</v>
      </c>
      <c r="AA33">
        <v>208</v>
      </c>
      <c r="AB33" t="s">
        <v>334</v>
      </c>
      <c r="AC33">
        <v>21.764607900000001</v>
      </c>
      <c r="AD33">
        <v>31661.759099999999</v>
      </c>
      <c r="AE33">
        <v>957140</v>
      </c>
      <c r="AF33">
        <v>959795</v>
      </c>
      <c r="AG33">
        <v>21.756499999999999</v>
      </c>
      <c r="AH33">
        <v>26.5807</v>
      </c>
      <c r="AI33">
        <v>39.6</v>
      </c>
      <c r="AJ33">
        <v>60</v>
      </c>
      <c r="AL33" t="s">
        <v>235</v>
      </c>
    </row>
    <row r="34" spans="1:38" x14ac:dyDescent="0.15">
      <c r="A34" t="s">
        <v>275</v>
      </c>
      <c r="B34">
        <v>13</v>
      </c>
      <c r="C34" t="s">
        <v>82</v>
      </c>
      <c r="D34">
        <v>45435</v>
      </c>
      <c r="E34" s="60" t="s">
        <v>382</v>
      </c>
      <c r="F34" t="s">
        <v>59</v>
      </c>
      <c r="G34" t="s">
        <v>80</v>
      </c>
      <c r="H34" s="60" t="s">
        <v>380</v>
      </c>
      <c r="I34" s="60" t="s">
        <v>384</v>
      </c>
      <c r="J34" s="60" t="s">
        <v>384</v>
      </c>
      <c r="K34" s="60" t="s">
        <v>386</v>
      </c>
      <c r="L34">
        <v>50</v>
      </c>
      <c r="M34">
        <v>30</v>
      </c>
      <c r="N34" t="s">
        <v>43</v>
      </c>
      <c r="O34" t="s">
        <v>35</v>
      </c>
      <c r="P34" t="s">
        <v>29</v>
      </c>
      <c r="Q34" t="s">
        <v>29</v>
      </c>
      <c r="R34">
        <v>5864</v>
      </c>
      <c r="S34">
        <v>91.8</v>
      </c>
      <c r="T34">
        <v>89.2</v>
      </c>
      <c r="U34">
        <f t="shared" si="2"/>
        <v>90.5</v>
      </c>
      <c r="V34">
        <f t="shared" si="0"/>
        <v>4525</v>
      </c>
      <c r="W34">
        <f t="shared" si="1"/>
        <v>4.5250000000000004</v>
      </c>
      <c r="X34">
        <v>1.72</v>
      </c>
      <c r="Y34">
        <v>1.97</v>
      </c>
      <c r="Z34">
        <v>1.9</v>
      </c>
      <c r="AA34">
        <v>433</v>
      </c>
      <c r="AB34" t="s">
        <v>335</v>
      </c>
      <c r="AC34">
        <v>19.5908947</v>
      </c>
      <c r="AD34">
        <v>132078.97700000001</v>
      </c>
      <c r="AE34">
        <v>7725855</v>
      </c>
      <c r="AF34">
        <v>4108868</v>
      </c>
      <c r="AG34">
        <v>93.139300000000006</v>
      </c>
      <c r="AH34">
        <v>222.29300000000001</v>
      </c>
      <c r="AI34">
        <v>39.5</v>
      </c>
      <c r="AJ34">
        <v>60</v>
      </c>
      <c r="AL34" t="s">
        <v>232</v>
      </c>
    </row>
    <row r="35" spans="1:38" x14ac:dyDescent="0.15">
      <c r="A35" t="s">
        <v>276</v>
      </c>
      <c r="B35">
        <v>14</v>
      </c>
      <c r="C35" t="s">
        <v>83</v>
      </c>
      <c r="D35">
        <v>45435</v>
      </c>
      <c r="E35" s="60" t="s">
        <v>382</v>
      </c>
      <c r="F35" t="s">
        <v>59</v>
      </c>
      <c r="G35" t="s">
        <v>80</v>
      </c>
      <c r="H35" s="60" t="s">
        <v>380</v>
      </c>
      <c r="I35" s="60" t="s">
        <v>384</v>
      </c>
      <c r="J35" s="60" t="s">
        <v>384</v>
      </c>
      <c r="K35" s="60" t="s">
        <v>386</v>
      </c>
      <c r="L35">
        <v>50</v>
      </c>
      <c r="M35">
        <v>30</v>
      </c>
      <c r="N35" t="s">
        <v>34</v>
      </c>
      <c r="O35" t="s">
        <v>35</v>
      </c>
      <c r="P35" t="s">
        <v>29</v>
      </c>
      <c r="Q35" t="s">
        <v>29</v>
      </c>
      <c r="R35">
        <v>5834</v>
      </c>
      <c r="S35">
        <v>36</v>
      </c>
      <c r="T35">
        <v>37.200000000000003</v>
      </c>
      <c r="U35">
        <f t="shared" si="2"/>
        <v>36.6</v>
      </c>
      <c r="V35">
        <f t="shared" si="0"/>
        <v>1830</v>
      </c>
      <c r="W35">
        <f t="shared" si="1"/>
        <v>1.83</v>
      </c>
      <c r="X35">
        <v>1.62</v>
      </c>
      <c r="Y35">
        <v>1.73</v>
      </c>
      <c r="Z35" t="s">
        <v>63</v>
      </c>
      <c r="AA35" t="s">
        <v>63</v>
      </c>
      <c r="AB35" t="s">
        <v>336</v>
      </c>
      <c r="AC35">
        <v>22.3206548</v>
      </c>
      <c r="AD35">
        <v>21971.488799999999</v>
      </c>
      <c r="AE35">
        <v>3446032</v>
      </c>
      <c r="AF35">
        <v>4196587</v>
      </c>
      <c r="AG35">
        <v>95.127700000000004</v>
      </c>
      <c r="AH35">
        <v>99.739500000000007</v>
      </c>
      <c r="AI35">
        <v>39.5</v>
      </c>
      <c r="AJ35">
        <v>60</v>
      </c>
      <c r="AK35" t="s">
        <v>349</v>
      </c>
      <c r="AL35" t="s">
        <v>238</v>
      </c>
    </row>
    <row r="36" spans="1:38" x14ac:dyDescent="0.15">
      <c r="A36" t="s">
        <v>277</v>
      </c>
      <c r="B36">
        <v>15</v>
      </c>
      <c r="C36" t="s">
        <v>84</v>
      </c>
      <c r="D36">
        <v>45435</v>
      </c>
      <c r="E36" s="60" t="s">
        <v>382</v>
      </c>
      <c r="F36" t="s">
        <v>59</v>
      </c>
      <c r="G36" t="s">
        <v>80</v>
      </c>
      <c r="H36" s="60" t="s">
        <v>380</v>
      </c>
      <c r="I36" s="60" t="s">
        <v>384</v>
      </c>
      <c r="J36" s="60" t="s">
        <v>384</v>
      </c>
      <c r="K36" s="60" t="s">
        <v>386</v>
      </c>
      <c r="L36">
        <v>50</v>
      </c>
      <c r="M36">
        <v>30</v>
      </c>
      <c r="N36" t="s">
        <v>43</v>
      </c>
      <c r="O36" t="s">
        <v>35</v>
      </c>
      <c r="P36" t="s">
        <v>29</v>
      </c>
      <c r="Q36" t="s">
        <v>29</v>
      </c>
      <c r="R36">
        <v>5822</v>
      </c>
      <c r="S36">
        <f>20*13.8</f>
        <v>276</v>
      </c>
      <c r="T36">
        <f>20*15.2</f>
        <v>304</v>
      </c>
      <c r="U36">
        <f t="shared" si="2"/>
        <v>290</v>
      </c>
      <c r="V36">
        <f t="shared" si="0"/>
        <v>14500</v>
      </c>
      <c r="W36">
        <f t="shared" si="1"/>
        <v>14.5</v>
      </c>
      <c r="X36">
        <v>1.74</v>
      </c>
      <c r="Y36">
        <v>2.0299999999999998</v>
      </c>
      <c r="Z36" t="s">
        <v>63</v>
      </c>
      <c r="AA36" t="s">
        <v>63</v>
      </c>
      <c r="AB36" t="s">
        <v>337</v>
      </c>
      <c r="AC36">
        <v>15.811328100000001</v>
      </c>
      <c r="AD36">
        <v>1582648.48</v>
      </c>
      <c r="AE36">
        <v>211289</v>
      </c>
      <c r="AF36">
        <v>3324799</v>
      </c>
      <c r="AG36">
        <v>75.366100000000003</v>
      </c>
      <c r="AH36">
        <v>5.6002400000000003</v>
      </c>
      <c r="AI36">
        <v>39.5</v>
      </c>
      <c r="AJ36">
        <v>60</v>
      </c>
      <c r="AL36" t="s">
        <v>235</v>
      </c>
    </row>
    <row r="37" spans="1:38" x14ac:dyDescent="0.15">
      <c r="A37" t="s">
        <v>278</v>
      </c>
      <c r="B37">
        <v>16</v>
      </c>
      <c r="C37" t="s">
        <v>85</v>
      </c>
      <c r="D37">
        <v>45435</v>
      </c>
      <c r="E37" s="60" t="s">
        <v>382</v>
      </c>
      <c r="F37" t="s">
        <v>59</v>
      </c>
      <c r="G37" t="s">
        <v>80</v>
      </c>
      <c r="H37" s="60" t="s">
        <v>380</v>
      </c>
      <c r="I37" s="60" t="s">
        <v>384</v>
      </c>
      <c r="J37" s="60" t="s">
        <v>384</v>
      </c>
      <c r="K37" s="60" t="s">
        <v>386</v>
      </c>
      <c r="L37">
        <v>50</v>
      </c>
      <c r="M37">
        <v>30</v>
      </c>
      <c r="N37" t="s">
        <v>43</v>
      </c>
      <c r="O37" t="s">
        <v>35</v>
      </c>
      <c r="P37" t="s">
        <v>29</v>
      </c>
      <c r="Q37" t="s">
        <v>29</v>
      </c>
      <c r="R37">
        <v>5791</v>
      </c>
      <c r="S37">
        <f>20*9.06</f>
        <v>181.20000000000002</v>
      </c>
      <c r="T37">
        <f>20*9.88</f>
        <v>197.60000000000002</v>
      </c>
      <c r="U37">
        <f t="shared" si="2"/>
        <v>189.40000000000003</v>
      </c>
      <c r="V37">
        <f t="shared" si="0"/>
        <v>9470.0000000000018</v>
      </c>
      <c r="W37">
        <f t="shared" si="1"/>
        <v>9.4700000000000024</v>
      </c>
      <c r="X37">
        <v>1.79</v>
      </c>
      <c r="Y37">
        <v>2.0699999999999998</v>
      </c>
      <c r="Z37">
        <v>2</v>
      </c>
      <c r="AA37" t="s">
        <v>98</v>
      </c>
      <c r="AB37" t="s">
        <v>338</v>
      </c>
      <c r="AC37">
        <v>16.793249899999999</v>
      </c>
      <c r="AD37">
        <v>830194.19900000002</v>
      </c>
      <c r="AE37">
        <v>2111084</v>
      </c>
      <c r="AF37">
        <v>2850820</v>
      </c>
      <c r="AG37">
        <v>64.622</v>
      </c>
      <c r="AH37">
        <v>53.983899999999998</v>
      </c>
      <c r="AI37">
        <v>39.6</v>
      </c>
      <c r="AJ37">
        <v>60</v>
      </c>
      <c r="AL37" t="s">
        <v>354</v>
      </c>
    </row>
    <row r="38" spans="1:38" x14ac:dyDescent="0.15">
      <c r="A38" t="s">
        <v>279</v>
      </c>
      <c r="B38">
        <v>17</v>
      </c>
      <c r="C38" t="s">
        <v>86</v>
      </c>
      <c r="D38">
        <v>45435</v>
      </c>
      <c r="E38" s="60" t="s">
        <v>382</v>
      </c>
      <c r="F38" t="s">
        <v>59</v>
      </c>
      <c r="G38" t="s">
        <v>80</v>
      </c>
      <c r="H38" s="60" t="s">
        <v>380</v>
      </c>
      <c r="I38" s="60" t="s">
        <v>384</v>
      </c>
      <c r="J38" s="60" t="s">
        <v>384</v>
      </c>
      <c r="K38" s="60" t="s">
        <v>386</v>
      </c>
      <c r="L38">
        <v>50</v>
      </c>
      <c r="M38">
        <v>30</v>
      </c>
      <c r="N38" t="s">
        <v>38</v>
      </c>
      <c r="O38" t="s">
        <v>31</v>
      </c>
      <c r="P38" t="s">
        <v>74</v>
      </c>
      <c r="Q38" t="s">
        <v>32</v>
      </c>
      <c r="R38">
        <v>5762</v>
      </c>
      <c r="S38">
        <f>20*1.19</f>
        <v>23.799999999999997</v>
      </c>
      <c r="T38">
        <f>20*1.15</f>
        <v>23</v>
      </c>
      <c r="U38">
        <f t="shared" si="2"/>
        <v>23.4</v>
      </c>
      <c r="V38">
        <f t="shared" si="0"/>
        <v>1170</v>
      </c>
      <c r="W38">
        <f t="shared" si="1"/>
        <v>1.17</v>
      </c>
      <c r="X38">
        <v>1.55</v>
      </c>
      <c r="Y38">
        <v>1.67</v>
      </c>
      <c r="Z38">
        <v>2.2999999999999998</v>
      </c>
      <c r="AA38">
        <v>426</v>
      </c>
      <c r="AB38" t="s">
        <v>339</v>
      </c>
      <c r="AC38">
        <v>25.677350499999999</v>
      </c>
      <c r="AD38">
        <v>2420.9214299999999</v>
      </c>
      <c r="AE38">
        <v>242146</v>
      </c>
      <c r="AF38">
        <v>3152612</v>
      </c>
      <c r="AG38">
        <v>71.462999999999994</v>
      </c>
      <c r="AH38">
        <v>6.7987799999999998</v>
      </c>
      <c r="AI38">
        <v>39.5</v>
      </c>
      <c r="AJ38">
        <v>60</v>
      </c>
      <c r="AK38" t="s">
        <v>349</v>
      </c>
      <c r="AL38" t="s">
        <v>236</v>
      </c>
    </row>
    <row r="39" spans="1:38" x14ac:dyDescent="0.15">
      <c r="A39" t="s">
        <v>280</v>
      </c>
      <c r="B39">
        <v>18</v>
      </c>
      <c r="C39" t="s">
        <v>87</v>
      </c>
      <c r="D39">
        <v>45435</v>
      </c>
      <c r="E39" s="60" t="s">
        <v>382</v>
      </c>
      <c r="F39" t="s">
        <v>59</v>
      </c>
      <c r="G39" t="s">
        <v>80</v>
      </c>
      <c r="H39" s="60" t="s">
        <v>380</v>
      </c>
      <c r="I39" s="60" t="s">
        <v>384</v>
      </c>
      <c r="J39" s="60" t="s">
        <v>384</v>
      </c>
      <c r="K39" s="60" t="s">
        <v>386</v>
      </c>
      <c r="L39">
        <v>80</v>
      </c>
      <c r="M39">
        <v>30</v>
      </c>
      <c r="N39" t="s">
        <v>38</v>
      </c>
      <c r="O39" t="s">
        <v>35</v>
      </c>
      <c r="P39" t="s">
        <v>29</v>
      </c>
      <c r="Q39" t="s">
        <v>29</v>
      </c>
      <c r="R39">
        <v>5492</v>
      </c>
      <c r="S39">
        <f>30*116</f>
        <v>3480</v>
      </c>
      <c r="T39">
        <f>30*120</f>
        <v>3600</v>
      </c>
      <c r="U39">
        <f t="shared" si="2"/>
        <v>3540</v>
      </c>
      <c r="V39">
        <f t="shared" si="0"/>
        <v>283200</v>
      </c>
      <c r="W39">
        <f t="shared" si="1"/>
        <v>283.2</v>
      </c>
      <c r="X39">
        <v>1.87</v>
      </c>
      <c r="Y39">
        <v>2.2999999999999998</v>
      </c>
      <c r="Z39" t="s">
        <v>63</v>
      </c>
      <c r="AA39" t="s">
        <v>63</v>
      </c>
      <c r="AB39" t="s">
        <v>340</v>
      </c>
      <c r="AC39">
        <v>17.982431099999999</v>
      </c>
      <c r="AD39">
        <v>380041.18900000001</v>
      </c>
      <c r="AE39">
        <v>77</v>
      </c>
      <c r="AF39">
        <v>4689</v>
      </c>
      <c r="AG39">
        <v>0.10629</v>
      </c>
      <c r="AH39">
        <v>1.85944E-3</v>
      </c>
      <c r="AI39">
        <v>39.5</v>
      </c>
      <c r="AJ39">
        <v>60</v>
      </c>
      <c r="AL39" t="s">
        <v>351</v>
      </c>
    </row>
    <row r="40" spans="1:38" x14ac:dyDescent="0.15">
      <c r="A40" t="s">
        <v>281</v>
      </c>
      <c r="B40">
        <v>19</v>
      </c>
      <c r="C40" t="s">
        <v>88</v>
      </c>
      <c r="D40">
        <v>45435</v>
      </c>
      <c r="E40" s="60" t="s">
        <v>382</v>
      </c>
      <c r="F40" t="s">
        <v>59</v>
      </c>
      <c r="G40" t="s">
        <v>80</v>
      </c>
      <c r="H40" s="60" t="s">
        <v>380</v>
      </c>
      <c r="I40" s="60" t="s">
        <v>384</v>
      </c>
      <c r="J40" s="60" t="s">
        <v>384</v>
      </c>
      <c r="K40" s="60" t="s">
        <v>386</v>
      </c>
      <c r="L40">
        <v>50</v>
      </c>
      <c r="M40">
        <v>30</v>
      </c>
      <c r="N40" t="s">
        <v>34</v>
      </c>
      <c r="O40" t="s">
        <v>35</v>
      </c>
      <c r="P40" t="s">
        <v>29</v>
      </c>
      <c r="Q40" t="s">
        <v>29</v>
      </c>
      <c r="R40">
        <v>5073</v>
      </c>
      <c r="S40">
        <f>20*70.4</f>
        <v>1408</v>
      </c>
      <c r="T40">
        <f>20*67.2</f>
        <v>1344</v>
      </c>
      <c r="U40">
        <f t="shared" si="2"/>
        <v>1376</v>
      </c>
      <c r="V40">
        <f t="shared" si="0"/>
        <v>68800</v>
      </c>
      <c r="W40">
        <f t="shared" si="1"/>
        <v>68.8</v>
      </c>
      <c r="X40">
        <v>1.8</v>
      </c>
      <c r="Y40">
        <v>1.94</v>
      </c>
      <c r="Z40" t="s">
        <v>63</v>
      </c>
      <c r="AA40" t="s">
        <v>63</v>
      </c>
      <c r="AB40" t="s">
        <v>341</v>
      </c>
      <c r="AC40">
        <v>34.328299199999996</v>
      </c>
      <c r="AD40">
        <v>8.2283880600000003</v>
      </c>
      <c r="AE40">
        <v>21</v>
      </c>
      <c r="AF40">
        <v>1360</v>
      </c>
      <c r="AG40">
        <v>3.0828299999999999E-2</v>
      </c>
      <c r="AH40">
        <v>5.3428199999999996E-4</v>
      </c>
      <c r="AI40">
        <v>39.4</v>
      </c>
      <c r="AJ40">
        <v>60</v>
      </c>
      <c r="AL40" t="s">
        <v>351</v>
      </c>
    </row>
    <row r="41" spans="1:38" x14ac:dyDescent="0.15">
      <c r="A41" t="s">
        <v>282</v>
      </c>
      <c r="B41">
        <v>20</v>
      </c>
      <c r="C41" t="s">
        <v>89</v>
      </c>
      <c r="D41">
        <v>45435</v>
      </c>
      <c r="E41" s="60" t="s">
        <v>382</v>
      </c>
      <c r="F41" t="s">
        <v>59</v>
      </c>
      <c r="G41" t="s">
        <v>80</v>
      </c>
      <c r="H41" s="60" t="s">
        <v>380</v>
      </c>
      <c r="I41" s="60" t="s">
        <v>384</v>
      </c>
      <c r="J41" s="60" t="s">
        <v>384</v>
      </c>
      <c r="K41" s="60" t="s">
        <v>386</v>
      </c>
      <c r="L41">
        <v>50</v>
      </c>
      <c r="M41">
        <v>30</v>
      </c>
      <c r="N41" t="s">
        <v>78</v>
      </c>
      <c r="O41" t="s">
        <v>31</v>
      </c>
      <c r="P41" t="s">
        <v>32</v>
      </c>
      <c r="Q41" t="s">
        <v>29</v>
      </c>
      <c r="R41">
        <v>4018</v>
      </c>
      <c r="S41">
        <f>20*0.978</f>
        <v>19.559999999999999</v>
      </c>
      <c r="T41">
        <f>20*0.964</f>
        <v>19.28</v>
      </c>
      <c r="U41">
        <f t="shared" si="2"/>
        <v>19.420000000000002</v>
      </c>
      <c r="V41">
        <f t="shared" si="0"/>
        <v>971.00000000000011</v>
      </c>
      <c r="W41">
        <f t="shared" si="1"/>
        <v>0.97100000000000009</v>
      </c>
      <c r="X41">
        <v>1.52</v>
      </c>
      <c r="Y41">
        <v>1.54</v>
      </c>
      <c r="Z41" t="s">
        <v>63</v>
      </c>
      <c r="AA41" t="s">
        <v>63</v>
      </c>
      <c r="AB41" t="s">
        <v>342</v>
      </c>
      <c r="AC41">
        <v>34.683725799999998</v>
      </c>
      <c r="AD41">
        <v>6.5146179899999996</v>
      </c>
      <c r="AE41">
        <v>1057</v>
      </c>
      <c r="AF41">
        <v>17344</v>
      </c>
      <c r="AG41">
        <v>0.39315099999999997</v>
      </c>
      <c r="AH41">
        <v>2.64158E-2</v>
      </c>
      <c r="AI41">
        <v>39.6</v>
      </c>
      <c r="AJ41">
        <v>60</v>
      </c>
      <c r="AL41" t="s">
        <v>351</v>
      </c>
    </row>
    <row r="42" spans="1:38" ht="18" customHeight="1" x14ac:dyDescent="0.15">
      <c r="A42" t="s">
        <v>283</v>
      </c>
      <c r="B42">
        <v>21</v>
      </c>
      <c r="C42" t="s">
        <v>204</v>
      </c>
      <c r="D42">
        <v>45441</v>
      </c>
      <c r="E42" s="60" t="s">
        <v>382</v>
      </c>
      <c r="F42" t="s">
        <v>59</v>
      </c>
      <c r="G42" t="s">
        <v>357</v>
      </c>
      <c r="H42" s="60" t="s">
        <v>380</v>
      </c>
      <c r="I42" s="60" t="s">
        <v>385</v>
      </c>
      <c r="J42" s="60" t="s">
        <v>383</v>
      </c>
      <c r="K42" s="60" t="s">
        <v>387</v>
      </c>
      <c r="L42">
        <v>50</v>
      </c>
      <c r="N42" t="s">
        <v>34</v>
      </c>
      <c r="O42" t="s">
        <v>31</v>
      </c>
      <c r="P42" t="s">
        <v>40</v>
      </c>
      <c r="Q42" t="s">
        <v>32</v>
      </c>
      <c r="R42">
        <v>5966</v>
      </c>
      <c r="S42" t="s">
        <v>107</v>
      </c>
      <c r="U42" t="s">
        <v>108</v>
      </c>
      <c r="V42">
        <v>790</v>
      </c>
      <c r="W42" t="s">
        <v>109</v>
      </c>
      <c r="X42" t="s">
        <v>161</v>
      </c>
      <c r="Y42" t="s">
        <v>162</v>
      </c>
      <c r="Z42" t="s">
        <v>163</v>
      </c>
      <c r="AA42" t="s">
        <v>99</v>
      </c>
      <c r="AB42" t="s">
        <v>210</v>
      </c>
      <c r="AC42">
        <v>19.34</v>
      </c>
      <c r="AE42">
        <v>17706088</v>
      </c>
      <c r="AF42">
        <v>3875119</v>
      </c>
      <c r="AG42">
        <v>87.84</v>
      </c>
      <c r="AH42">
        <v>518.69899999999996</v>
      </c>
      <c r="AI42">
        <v>39.5</v>
      </c>
      <c r="AJ42">
        <v>60</v>
      </c>
      <c r="AL42" t="s">
        <v>230</v>
      </c>
    </row>
    <row r="43" spans="1:38" x14ac:dyDescent="0.15">
      <c r="A43" t="s">
        <v>284</v>
      </c>
      <c r="B43">
        <v>22</v>
      </c>
      <c r="C43" t="s">
        <v>204</v>
      </c>
      <c r="D43">
        <v>45441</v>
      </c>
      <c r="E43" s="60" t="s">
        <v>382</v>
      </c>
      <c r="F43" t="s">
        <v>59</v>
      </c>
      <c r="G43" t="s">
        <v>357</v>
      </c>
      <c r="H43" s="60" t="s">
        <v>380</v>
      </c>
      <c r="I43" s="60" t="s">
        <v>385</v>
      </c>
      <c r="J43" s="60" t="s">
        <v>383</v>
      </c>
      <c r="K43" s="60" t="s">
        <v>387</v>
      </c>
      <c r="L43">
        <v>50</v>
      </c>
      <c r="N43" t="s">
        <v>38</v>
      </c>
      <c r="O43" t="s">
        <v>35</v>
      </c>
      <c r="P43" t="s">
        <v>29</v>
      </c>
      <c r="Q43" t="s">
        <v>29</v>
      </c>
      <c r="R43">
        <v>5989</v>
      </c>
      <c r="S43" t="s">
        <v>110</v>
      </c>
      <c r="U43" t="s">
        <v>110</v>
      </c>
      <c r="V43" t="s">
        <v>111</v>
      </c>
      <c r="W43" t="s">
        <v>112</v>
      </c>
      <c r="X43" t="s">
        <v>164</v>
      </c>
      <c r="Y43" t="s">
        <v>165</v>
      </c>
      <c r="Z43" t="s">
        <v>166</v>
      </c>
      <c r="AA43" t="s">
        <v>100</v>
      </c>
      <c r="AB43" t="s">
        <v>211</v>
      </c>
      <c r="AC43">
        <v>18.600000000000001</v>
      </c>
      <c r="AE43">
        <v>23307331</v>
      </c>
      <c r="AF43">
        <v>4314223</v>
      </c>
      <c r="AG43">
        <v>97.79</v>
      </c>
      <c r="AH43">
        <v>698.17</v>
      </c>
      <c r="AI43">
        <v>39.5</v>
      </c>
      <c r="AJ43">
        <v>60</v>
      </c>
      <c r="AL43" t="s">
        <v>231</v>
      </c>
    </row>
    <row r="44" spans="1:38" x14ac:dyDescent="0.15">
      <c r="A44" t="s">
        <v>285</v>
      </c>
      <c r="B44">
        <v>23</v>
      </c>
      <c r="C44" t="s">
        <v>204</v>
      </c>
      <c r="D44">
        <v>45441</v>
      </c>
      <c r="E44" s="60" t="s">
        <v>382</v>
      </c>
      <c r="F44" t="s">
        <v>59</v>
      </c>
      <c r="G44" t="s">
        <v>357</v>
      </c>
      <c r="H44" s="60" t="s">
        <v>380</v>
      </c>
      <c r="I44" s="60" t="s">
        <v>385</v>
      </c>
      <c r="J44" s="60" t="s">
        <v>383</v>
      </c>
      <c r="K44" s="60" t="s">
        <v>387</v>
      </c>
      <c r="L44">
        <v>50</v>
      </c>
      <c r="N44" t="s">
        <v>34</v>
      </c>
      <c r="O44" t="s">
        <v>31</v>
      </c>
      <c r="P44" t="s">
        <v>113</v>
      </c>
      <c r="Q44" t="s">
        <v>32</v>
      </c>
      <c r="R44">
        <v>6062</v>
      </c>
      <c r="S44" t="s">
        <v>114</v>
      </c>
      <c r="U44" t="s">
        <v>114</v>
      </c>
      <c r="V44" t="s">
        <v>115</v>
      </c>
      <c r="W44" t="s">
        <v>116</v>
      </c>
      <c r="X44" t="s">
        <v>167</v>
      </c>
      <c r="Y44" t="s">
        <v>168</v>
      </c>
      <c r="Z44" t="s">
        <v>63</v>
      </c>
      <c r="AA44" t="s">
        <v>63</v>
      </c>
      <c r="AB44" t="s">
        <v>212</v>
      </c>
      <c r="AC44">
        <v>20.49</v>
      </c>
      <c r="AE44">
        <v>12931029</v>
      </c>
      <c r="AF44">
        <v>4246912</v>
      </c>
      <c r="AG44">
        <v>96.27</v>
      </c>
      <c r="AH44">
        <v>383.06400000000002</v>
      </c>
      <c r="AI44">
        <v>39.5</v>
      </c>
      <c r="AJ44">
        <v>60</v>
      </c>
      <c r="AL44" t="s">
        <v>232</v>
      </c>
    </row>
    <row r="45" spans="1:38" x14ac:dyDescent="0.15">
      <c r="A45" t="s">
        <v>286</v>
      </c>
      <c r="B45">
        <v>24</v>
      </c>
      <c r="C45" t="s">
        <v>204</v>
      </c>
      <c r="D45">
        <v>45441</v>
      </c>
      <c r="E45" s="60" t="s">
        <v>382</v>
      </c>
      <c r="F45" t="s">
        <v>59</v>
      </c>
      <c r="G45" t="s">
        <v>357</v>
      </c>
      <c r="H45" s="60" t="s">
        <v>380</v>
      </c>
      <c r="I45" s="60" t="s">
        <v>385</v>
      </c>
      <c r="J45" s="60" t="s">
        <v>383</v>
      </c>
      <c r="K45" s="60" t="s">
        <v>387</v>
      </c>
      <c r="L45">
        <v>50</v>
      </c>
      <c r="N45" t="s">
        <v>34</v>
      </c>
      <c r="O45" t="s">
        <v>31</v>
      </c>
      <c r="P45" t="s">
        <v>40</v>
      </c>
      <c r="Q45" t="s">
        <v>32</v>
      </c>
      <c r="R45">
        <v>6073</v>
      </c>
      <c r="S45" t="s">
        <v>117</v>
      </c>
      <c r="U45" t="s">
        <v>117</v>
      </c>
      <c r="V45" t="s">
        <v>118</v>
      </c>
      <c r="W45" t="s">
        <v>119</v>
      </c>
      <c r="X45" t="s">
        <v>169</v>
      </c>
      <c r="Y45" t="s">
        <v>170</v>
      </c>
      <c r="Z45" t="s">
        <v>171</v>
      </c>
      <c r="AA45" t="s">
        <v>101</v>
      </c>
      <c r="AB45" t="s">
        <v>213</v>
      </c>
      <c r="AC45">
        <v>20.47</v>
      </c>
      <c r="AE45">
        <v>24006624</v>
      </c>
      <c r="AF45">
        <v>4325745</v>
      </c>
      <c r="AG45">
        <v>98.06</v>
      </c>
      <c r="AH45">
        <v>709.005</v>
      </c>
      <c r="AI45">
        <v>39.5</v>
      </c>
      <c r="AJ45">
        <v>60</v>
      </c>
      <c r="AK45" t="s">
        <v>233</v>
      </c>
      <c r="AL45" t="s">
        <v>234</v>
      </c>
    </row>
    <row r="46" spans="1:38" x14ac:dyDescent="0.15">
      <c r="A46" t="s">
        <v>287</v>
      </c>
      <c r="B46">
        <v>25</v>
      </c>
      <c r="C46" t="s">
        <v>204</v>
      </c>
      <c r="D46">
        <v>45441</v>
      </c>
      <c r="E46" s="60" t="s">
        <v>382</v>
      </c>
      <c r="F46" t="s">
        <v>59</v>
      </c>
      <c r="G46" t="s">
        <v>357</v>
      </c>
      <c r="H46" s="60" t="s">
        <v>380</v>
      </c>
      <c r="I46" s="60" t="s">
        <v>385</v>
      </c>
      <c r="J46" s="60" t="s">
        <v>383</v>
      </c>
      <c r="K46" s="60" t="s">
        <v>387</v>
      </c>
      <c r="L46">
        <v>50</v>
      </c>
      <c r="N46" t="s">
        <v>34</v>
      </c>
      <c r="O46" t="s">
        <v>31</v>
      </c>
      <c r="P46" t="s">
        <v>40</v>
      </c>
      <c r="Q46" t="s">
        <v>32</v>
      </c>
      <c r="R46">
        <v>6091</v>
      </c>
      <c r="S46" t="s">
        <v>120</v>
      </c>
      <c r="U46" t="s">
        <v>120</v>
      </c>
      <c r="V46" t="s">
        <v>121</v>
      </c>
      <c r="W46" t="s">
        <v>116</v>
      </c>
      <c r="X46" t="s">
        <v>172</v>
      </c>
      <c r="Y46" t="s">
        <v>173</v>
      </c>
      <c r="Z46" t="s">
        <v>63</v>
      </c>
      <c r="AA46" t="s">
        <v>63</v>
      </c>
      <c r="AB46" t="s">
        <v>214</v>
      </c>
      <c r="AC46">
        <v>21.68</v>
      </c>
      <c r="AE46">
        <v>12477026</v>
      </c>
      <c r="AF46">
        <v>4299053</v>
      </c>
      <c r="AG46">
        <v>97.45</v>
      </c>
      <c r="AH46">
        <v>369.24200000000002</v>
      </c>
      <c r="AI46">
        <v>39.5</v>
      </c>
      <c r="AJ46">
        <v>60</v>
      </c>
      <c r="AL46" t="s">
        <v>231</v>
      </c>
    </row>
    <row r="47" spans="1:38" x14ac:dyDescent="0.15">
      <c r="A47" t="s">
        <v>288</v>
      </c>
      <c r="B47">
        <v>26</v>
      </c>
      <c r="C47" t="s">
        <v>204</v>
      </c>
      <c r="D47">
        <v>45441</v>
      </c>
      <c r="E47" s="60" t="s">
        <v>382</v>
      </c>
      <c r="F47" t="s">
        <v>59</v>
      </c>
      <c r="G47" t="s">
        <v>357</v>
      </c>
      <c r="H47" s="60" t="s">
        <v>380</v>
      </c>
      <c r="I47" s="60" t="s">
        <v>385</v>
      </c>
      <c r="J47" s="60" t="s">
        <v>383</v>
      </c>
      <c r="K47" s="60" t="s">
        <v>387</v>
      </c>
      <c r="L47">
        <v>50</v>
      </c>
      <c r="N47" t="s">
        <v>34</v>
      </c>
      <c r="O47" t="s">
        <v>31</v>
      </c>
      <c r="P47" t="s">
        <v>113</v>
      </c>
      <c r="Q47" t="s">
        <v>32</v>
      </c>
      <c r="R47">
        <v>6146</v>
      </c>
      <c r="S47" t="s">
        <v>122</v>
      </c>
      <c r="U47" t="s">
        <v>123</v>
      </c>
      <c r="V47">
        <v>4865</v>
      </c>
      <c r="W47" t="s">
        <v>124</v>
      </c>
      <c r="X47" t="s">
        <v>174</v>
      </c>
      <c r="Y47" t="s">
        <v>175</v>
      </c>
      <c r="Z47" t="s">
        <v>63</v>
      </c>
      <c r="AA47" t="s">
        <v>63</v>
      </c>
      <c r="AB47" t="s">
        <v>215</v>
      </c>
      <c r="AC47">
        <v>19.13</v>
      </c>
      <c r="AE47">
        <v>5687659</v>
      </c>
      <c r="AF47">
        <v>1485013</v>
      </c>
      <c r="AG47">
        <v>33.659999999999997</v>
      </c>
      <c r="AH47">
        <v>161.01</v>
      </c>
      <c r="AI47">
        <v>39.6</v>
      </c>
      <c r="AJ47">
        <v>60</v>
      </c>
      <c r="AL47" t="s">
        <v>235</v>
      </c>
    </row>
    <row r="48" spans="1:38" x14ac:dyDescent="0.15">
      <c r="A48" t="s">
        <v>289</v>
      </c>
      <c r="B48">
        <v>27</v>
      </c>
      <c r="C48" t="s">
        <v>204</v>
      </c>
      <c r="D48">
        <v>45441</v>
      </c>
      <c r="E48" s="60" t="s">
        <v>382</v>
      </c>
      <c r="F48" t="s">
        <v>59</v>
      </c>
      <c r="G48" t="s">
        <v>357</v>
      </c>
      <c r="H48" s="60" t="s">
        <v>380</v>
      </c>
      <c r="I48" s="60" t="s">
        <v>385</v>
      </c>
      <c r="J48" s="60" t="s">
        <v>383</v>
      </c>
      <c r="K48" s="60" t="s">
        <v>387</v>
      </c>
      <c r="L48">
        <v>50</v>
      </c>
      <c r="N48" t="s">
        <v>125</v>
      </c>
      <c r="O48" t="s">
        <v>31</v>
      </c>
      <c r="P48" t="s">
        <v>74</v>
      </c>
      <c r="Q48" t="s">
        <v>32</v>
      </c>
      <c r="R48">
        <v>6147</v>
      </c>
      <c r="S48" t="s">
        <v>126</v>
      </c>
      <c r="U48" t="s">
        <v>126</v>
      </c>
      <c r="V48" t="s">
        <v>127</v>
      </c>
      <c r="W48" t="s">
        <v>128</v>
      </c>
      <c r="X48" t="s">
        <v>176</v>
      </c>
      <c r="Y48">
        <v>5</v>
      </c>
      <c r="Z48" t="s">
        <v>63</v>
      </c>
      <c r="AA48" t="s">
        <v>63</v>
      </c>
      <c r="AB48" t="s">
        <v>216</v>
      </c>
      <c r="AC48">
        <v>26.96</v>
      </c>
      <c r="AE48">
        <v>564341</v>
      </c>
      <c r="AF48">
        <v>3478380</v>
      </c>
      <c r="AG48">
        <v>78.849999999999994</v>
      </c>
      <c r="AH48">
        <v>14.861000000000001</v>
      </c>
      <c r="AI48">
        <v>39.6</v>
      </c>
      <c r="AJ48">
        <v>60</v>
      </c>
      <c r="AL48" t="s">
        <v>236</v>
      </c>
    </row>
    <row r="49" spans="1:38" ht="16" customHeight="1" x14ac:dyDescent="0.15">
      <c r="A49" t="s">
        <v>290</v>
      </c>
      <c r="B49">
        <v>28</v>
      </c>
      <c r="C49" t="s">
        <v>204</v>
      </c>
      <c r="D49">
        <v>45441</v>
      </c>
      <c r="E49" s="60" t="s">
        <v>382</v>
      </c>
      <c r="F49" t="s">
        <v>59</v>
      </c>
      <c r="G49" t="s">
        <v>357</v>
      </c>
      <c r="H49" s="60" t="s">
        <v>380</v>
      </c>
      <c r="I49" s="60" t="s">
        <v>385</v>
      </c>
      <c r="J49" s="60" t="s">
        <v>383</v>
      </c>
      <c r="K49" s="60" t="s">
        <v>387</v>
      </c>
      <c r="L49">
        <v>50</v>
      </c>
      <c r="N49" t="s">
        <v>43</v>
      </c>
      <c r="O49" t="s">
        <v>31</v>
      </c>
      <c r="P49" t="s">
        <v>40</v>
      </c>
      <c r="Q49" t="s">
        <v>32</v>
      </c>
      <c r="R49">
        <v>6152</v>
      </c>
      <c r="S49" t="s">
        <v>129</v>
      </c>
      <c r="U49" t="s">
        <v>129</v>
      </c>
      <c r="V49" t="s">
        <v>130</v>
      </c>
      <c r="W49" t="s">
        <v>131</v>
      </c>
      <c r="X49" t="s">
        <v>177</v>
      </c>
      <c r="Y49" t="s">
        <v>178</v>
      </c>
      <c r="Z49" t="s">
        <v>63</v>
      </c>
      <c r="AA49" t="s">
        <v>63</v>
      </c>
      <c r="AB49" t="s">
        <v>217</v>
      </c>
      <c r="AC49">
        <v>20.94</v>
      </c>
      <c r="AE49">
        <v>22396761</v>
      </c>
      <c r="AF49">
        <v>4250606</v>
      </c>
      <c r="AG49">
        <v>96.35</v>
      </c>
      <c r="AH49">
        <v>663.85799999999995</v>
      </c>
      <c r="AI49">
        <v>39.5</v>
      </c>
      <c r="AJ49">
        <v>60</v>
      </c>
      <c r="AK49" t="s">
        <v>237</v>
      </c>
      <c r="AL49" t="s">
        <v>238</v>
      </c>
    </row>
    <row r="50" spans="1:38" x14ac:dyDescent="0.15">
      <c r="A50" t="s">
        <v>291</v>
      </c>
      <c r="B50">
        <v>29</v>
      </c>
      <c r="C50" t="s">
        <v>204</v>
      </c>
      <c r="D50">
        <v>45441</v>
      </c>
      <c r="E50" s="60" t="s">
        <v>382</v>
      </c>
      <c r="F50" t="s">
        <v>59</v>
      </c>
      <c r="G50" t="s">
        <v>357</v>
      </c>
      <c r="H50" s="60" t="s">
        <v>380</v>
      </c>
      <c r="I50" s="60" t="s">
        <v>385</v>
      </c>
      <c r="J50" s="60" t="s">
        <v>383</v>
      </c>
      <c r="K50" s="60" t="s">
        <v>387</v>
      </c>
      <c r="L50">
        <v>50</v>
      </c>
      <c r="N50" t="s">
        <v>34</v>
      </c>
      <c r="O50" t="s">
        <v>31</v>
      </c>
      <c r="P50" t="s">
        <v>40</v>
      </c>
      <c r="Q50" t="s">
        <v>32</v>
      </c>
      <c r="R50">
        <v>6231</v>
      </c>
      <c r="S50" t="s">
        <v>132</v>
      </c>
      <c r="U50" t="s">
        <v>133</v>
      </c>
      <c r="V50">
        <v>525</v>
      </c>
      <c r="W50" t="s">
        <v>134</v>
      </c>
      <c r="X50" t="s">
        <v>179</v>
      </c>
      <c r="Y50" t="s">
        <v>180</v>
      </c>
      <c r="Z50" t="s">
        <v>181</v>
      </c>
      <c r="AA50" t="s">
        <v>102</v>
      </c>
      <c r="AB50" t="s">
        <v>218</v>
      </c>
      <c r="AC50">
        <v>19.43</v>
      </c>
      <c r="AE50">
        <v>17533361</v>
      </c>
      <c r="AF50">
        <v>4290903</v>
      </c>
      <c r="AG50">
        <v>97.27</v>
      </c>
      <c r="AH50">
        <v>519.97400000000005</v>
      </c>
      <c r="AI50">
        <v>39.5</v>
      </c>
      <c r="AJ50">
        <v>60</v>
      </c>
      <c r="AL50" t="s">
        <v>236</v>
      </c>
    </row>
    <row r="51" spans="1:38" x14ac:dyDescent="0.15">
      <c r="A51" t="s">
        <v>292</v>
      </c>
      <c r="B51">
        <v>30</v>
      </c>
      <c r="C51" t="s">
        <v>204</v>
      </c>
      <c r="D51">
        <v>45441</v>
      </c>
      <c r="E51" s="60" t="s">
        <v>382</v>
      </c>
      <c r="F51" t="s">
        <v>59</v>
      </c>
      <c r="G51" t="s">
        <v>357</v>
      </c>
      <c r="H51" s="60" t="s">
        <v>380</v>
      </c>
      <c r="I51" s="60" t="s">
        <v>385</v>
      </c>
      <c r="J51" s="60" t="s">
        <v>383</v>
      </c>
      <c r="K51" s="60" t="s">
        <v>387</v>
      </c>
      <c r="L51">
        <v>50</v>
      </c>
      <c r="N51" t="s">
        <v>38</v>
      </c>
      <c r="O51" t="s">
        <v>35</v>
      </c>
      <c r="P51" t="s">
        <v>29</v>
      </c>
      <c r="Q51" t="s">
        <v>29</v>
      </c>
      <c r="R51">
        <v>6246</v>
      </c>
      <c r="S51" t="s">
        <v>135</v>
      </c>
      <c r="U51" t="s">
        <v>136</v>
      </c>
      <c r="V51">
        <v>430</v>
      </c>
      <c r="W51" t="s">
        <v>137</v>
      </c>
      <c r="X51" t="s">
        <v>182</v>
      </c>
      <c r="Y51" t="s">
        <v>183</v>
      </c>
      <c r="Z51" t="s">
        <v>63</v>
      </c>
      <c r="AA51" t="s">
        <v>63</v>
      </c>
      <c r="AB51" t="s">
        <v>219</v>
      </c>
      <c r="AC51">
        <v>20.83</v>
      </c>
      <c r="AE51">
        <v>9460128</v>
      </c>
      <c r="AF51">
        <v>4268024</v>
      </c>
      <c r="AG51">
        <v>96.75</v>
      </c>
      <c r="AH51">
        <v>281.69799999999998</v>
      </c>
      <c r="AI51">
        <v>39.5</v>
      </c>
      <c r="AJ51">
        <v>60</v>
      </c>
      <c r="AL51" t="s">
        <v>231</v>
      </c>
    </row>
    <row r="52" spans="1:38" x14ac:dyDescent="0.15">
      <c r="A52" t="s">
        <v>293</v>
      </c>
      <c r="B52">
        <v>21</v>
      </c>
      <c r="C52" t="s">
        <v>204</v>
      </c>
      <c r="D52">
        <v>45441</v>
      </c>
      <c r="E52" s="60" t="s">
        <v>382</v>
      </c>
      <c r="F52" t="s">
        <v>59</v>
      </c>
      <c r="G52" t="s">
        <v>357</v>
      </c>
      <c r="H52" s="60" t="s">
        <v>381</v>
      </c>
      <c r="I52" s="60" t="s">
        <v>385</v>
      </c>
      <c r="J52" s="60" t="s">
        <v>384</v>
      </c>
      <c r="K52" s="60" t="s">
        <v>388</v>
      </c>
      <c r="L52">
        <v>50</v>
      </c>
      <c r="N52" t="s">
        <v>34</v>
      </c>
      <c r="O52" t="s">
        <v>31</v>
      </c>
      <c r="P52" t="s">
        <v>40</v>
      </c>
      <c r="Q52" t="s">
        <v>32</v>
      </c>
      <c r="R52">
        <v>5966</v>
      </c>
      <c r="S52" t="s">
        <v>138</v>
      </c>
      <c r="U52" t="s">
        <v>139</v>
      </c>
      <c r="V52">
        <v>955</v>
      </c>
      <c r="W52" t="s">
        <v>140</v>
      </c>
      <c r="X52" t="s">
        <v>184</v>
      </c>
      <c r="Y52" t="s">
        <v>185</v>
      </c>
      <c r="Z52" t="s">
        <v>186</v>
      </c>
      <c r="AA52" t="s">
        <v>103</v>
      </c>
      <c r="AB52" t="s">
        <v>220</v>
      </c>
      <c r="AC52">
        <v>18.66</v>
      </c>
      <c r="AE52">
        <v>21871679</v>
      </c>
      <c r="AF52">
        <v>4317989</v>
      </c>
      <c r="AG52">
        <v>97.88</v>
      </c>
      <c r="AH52">
        <v>650.24599999999998</v>
      </c>
      <c r="AI52">
        <v>39.5</v>
      </c>
      <c r="AJ52">
        <v>60</v>
      </c>
      <c r="AL52" t="s">
        <v>234</v>
      </c>
    </row>
    <row r="53" spans="1:38" x14ac:dyDescent="0.15">
      <c r="A53" t="s">
        <v>294</v>
      </c>
      <c r="B53">
        <v>22</v>
      </c>
      <c r="C53" t="s">
        <v>204</v>
      </c>
      <c r="D53">
        <v>45441</v>
      </c>
      <c r="E53" s="60" t="s">
        <v>382</v>
      </c>
      <c r="F53" t="s">
        <v>59</v>
      </c>
      <c r="G53" t="s">
        <v>357</v>
      </c>
      <c r="H53" s="60" t="s">
        <v>381</v>
      </c>
      <c r="I53" s="60" t="s">
        <v>385</v>
      </c>
      <c r="J53" s="60" t="s">
        <v>384</v>
      </c>
      <c r="K53" s="60" t="s">
        <v>388</v>
      </c>
      <c r="L53">
        <v>50</v>
      </c>
      <c r="N53" t="s">
        <v>38</v>
      </c>
      <c r="O53" t="s">
        <v>35</v>
      </c>
      <c r="P53" t="s">
        <v>29</v>
      </c>
      <c r="Q53" t="s">
        <v>29</v>
      </c>
      <c r="R53">
        <v>5989</v>
      </c>
      <c r="S53" t="s">
        <v>141</v>
      </c>
      <c r="U53" t="s">
        <v>142</v>
      </c>
      <c r="V53">
        <v>745</v>
      </c>
      <c r="W53" t="s">
        <v>143</v>
      </c>
      <c r="X53" t="s">
        <v>187</v>
      </c>
      <c r="Y53" t="s">
        <v>185</v>
      </c>
      <c r="Z53" t="s">
        <v>188</v>
      </c>
      <c r="AA53" t="s">
        <v>104</v>
      </c>
      <c r="AB53" t="s">
        <v>221</v>
      </c>
      <c r="AC53">
        <v>18.32</v>
      </c>
      <c r="AE53">
        <v>35475733</v>
      </c>
      <c r="AF53">
        <v>4330633</v>
      </c>
      <c r="AG53">
        <v>98.17</v>
      </c>
      <c r="AH53">
        <v>1057.5</v>
      </c>
      <c r="AI53">
        <v>39.5</v>
      </c>
      <c r="AJ53">
        <v>60</v>
      </c>
      <c r="AL53" t="s">
        <v>231</v>
      </c>
    </row>
    <row r="54" spans="1:38" x14ac:dyDescent="0.15">
      <c r="A54" t="s">
        <v>295</v>
      </c>
      <c r="B54">
        <v>23</v>
      </c>
      <c r="C54" t="s">
        <v>204</v>
      </c>
      <c r="D54">
        <v>45441</v>
      </c>
      <c r="E54" s="60" t="s">
        <v>382</v>
      </c>
      <c r="F54" t="s">
        <v>59</v>
      </c>
      <c r="G54" t="s">
        <v>357</v>
      </c>
      <c r="H54" s="60" t="s">
        <v>381</v>
      </c>
      <c r="I54" s="60" t="s">
        <v>385</v>
      </c>
      <c r="J54" s="60" t="s">
        <v>384</v>
      </c>
      <c r="K54" s="60" t="s">
        <v>388</v>
      </c>
      <c r="L54">
        <v>50</v>
      </c>
      <c r="N54" t="s">
        <v>34</v>
      </c>
      <c r="O54" t="s">
        <v>31</v>
      </c>
      <c r="P54" t="s">
        <v>113</v>
      </c>
      <c r="Q54" t="s">
        <v>32</v>
      </c>
      <c r="R54">
        <v>6062</v>
      </c>
      <c r="S54" t="s">
        <v>144</v>
      </c>
      <c r="U54" t="s">
        <v>144</v>
      </c>
      <c r="V54" t="s">
        <v>145</v>
      </c>
      <c r="W54" t="s">
        <v>146</v>
      </c>
      <c r="X54" t="s">
        <v>189</v>
      </c>
      <c r="Y54" t="s">
        <v>190</v>
      </c>
      <c r="Z54" t="s">
        <v>63</v>
      </c>
      <c r="AA54" t="s">
        <v>63</v>
      </c>
      <c r="AB54" t="s">
        <v>222</v>
      </c>
      <c r="AC54">
        <v>20.77</v>
      </c>
      <c r="AE54">
        <v>8582413</v>
      </c>
      <c r="AF54">
        <v>3876601</v>
      </c>
      <c r="AG54">
        <v>87.87</v>
      </c>
      <c r="AH54">
        <v>248.45699999999999</v>
      </c>
      <c r="AI54">
        <v>39.5</v>
      </c>
      <c r="AJ54">
        <v>60</v>
      </c>
      <c r="AL54" t="s">
        <v>239</v>
      </c>
    </row>
    <row r="55" spans="1:38" x14ac:dyDescent="0.15">
      <c r="A55" t="s">
        <v>296</v>
      </c>
      <c r="B55">
        <v>24</v>
      </c>
      <c r="C55" t="s">
        <v>204</v>
      </c>
      <c r="D55">
        <v>45441</v>
      </c>
      <c r="E55" s="60" t="s">
        <v>382</v>
      </c>
      <c r="F55" t="s">
        <v>59</v>
      </c>
      <c r="G55" t="s">
        <v>357</v>
      </c>
      <c r="H55" s="60" t="s">
        <v>381</v>
      </c>
      <c r="I55" s="60" t="s">
        <v>385</v>
      </c>
      <c r="J55" s="60" t="s">
        <v>384</v>
      </c>
      <c r="K55" s="60" t="s">
        <v>388</v>
      </c>
      <c r="L55">
        <v>50</v>
      </c>
      <c r="N55" t="s">
        <v>34</v>
      </c>
      <c r="O55" t="s">
        <v>31</v>
      </c>
      <c r="P55" t="s">
        <v>40</v>
      </c>
      <c r="Q55" t="s">
        <v>32</v>
      </c>
      <c r="R55">
        <v>6073</v>
      </c>
      <c r="S55">
        <v>9</v>
      </c>
      <c r="U55" t="s">
        <v>147</v>
      </c>
      <c r="V55">
        <v>450</v>
      </c>
      <c r="W55" t="s">
        <v>148</v>
      </c>
      <c r="X55" t="s">
        <v>191</v>
      </c>
      <c r="Y55" t="s">
        <v>192</v>
      </c>
      <c r="Z55" t="s">
        <v>193</v>
      </c>
      <c r="AA55" t="s">
        <v>105</v>
      </c>
      <c r="AB55" t="s">
        <v>223</v>
      </c>
      <c r="AC55">
        <v>20.420000000000002</v>
      </c>
      <c r="AE55">
        <v>7179363</v>
      </c>
      <c r="AF55">
        <v>2515091</v>
      </c>
      <c r="AG55">
        <v>57.01</v>
      </c>
      <c r="AH55">
        <v>196.00800000000001</v>
      </c>
      <c r="AI55">
        <v>39.6</v>
      </c>
      <c r="AJ55">
        <v>60</v>
      </c>
      <c r="AL55" t="s">
        <v>236</v>
      </c>
    </row>
    <row r="56" spans="1:38" x14ac:dyDescent="0.15">
      <c r="A56" t="s">
        <v>297</v>
      </c>
      <c r="B56">
        <v>25</v>
      </c>
      <c r="C56" t="s">
        <v>204</v>
      </c>
      <c r="D56">
        <v>45441</v>
      </c>
      <c r="E56" s="60" t="s">
        <v>382</v>
      </c>
      <c r="F56" t="s">
        <v>59</v>
      </c>
      <c r="G56" t="s">
        <v>357</v>
      </c>
      <c r="H56" s="60" t="s">
        <v>381</v>
      </c>
      <c r="I56" s="60" t="s">
        <v>385</v>
      </c>
      <c r="J56" s="60" t="s">
        <v>384</v>
      </c>
      <c r="K56" s="60" t="s">
        <v>388</v>
      </c>
      <c r="L56">
        <v>50</v>
      </c>
      <c r="N56" t="s">
        <v>34</v>
      </c>
      <c r="O56" t="s">
        <v>31</v>
      </c>
      <c r="P56" t="s">
        <v>40</v>
      </c>
      <c r="Q56" t="s">
        <v>32</v>
      </c>
      <c r="R56">
        <v>6091</v>
      </c>
      <c r="S56" t="s">
        <v>149</v>
      </c>
      <c r="U56" t="s">
        <v>149</v>
      </c>
      <c r="V56" t="s">
        <v>150</v>
      </c>
      <c r="W56" t="s">
        <v>151</v>
      </c>
      <c r="X56" t="s">
        <v>194</v>
      </c>
      <c r="Y56" t="s">
        <v>195</v>
      </c>
      <c r="Z56" t="s">
        <v>63</v>
      </c>
      <c r="AA56" t="s">
        <v>63</v>
      </c>
      <c r="AB56" t="s">
        <v>224</v>
      </c>
      <c r="AC56">
        <v>22.06</v>
      </c>
      <c r="AE56">
        <v>7746608</v>
      </c>
      <c r="AF56">
        <v>4284595</v>
      </c>
      <c r="AG56">
        <v>97.12</v>
      </c>
      <c r="AH56">
        <v>229.292</v>
      </c>
      <c r="AI56">
        <v>39.5</v>
      </c>
      <c r="AJ56">
        <v>60</v>
      </c>
      <c r="AL56" t="s">
        <v>231</v>
      </c>
    </row>
    <row r="57" spans="1:38" x14ac:dyDescent="0.15">
      <c r="A57" t="s">
        <v>298</v>
      </c>
      <c r="B57">
        <v>26</v>
      </c>
      <c r="C57" t="s">
        <v>204</v>
      </c>
      <c r="D57">
        <v>45441</v>
      </c>
      <c r="E57" s="60" t="s">
        <v>382</v>
      </c>
      <c r="F57" t="s">
        <v>59</v>
      </c>
      <c r="G57" t="s">
        <v>357</v>
      </c>
      <c r="H57" s="60" t="s">
        <v>381</v>
      </c>
      <c r="I57" s="60" t="s">
        <v>385</v>
      </c>
      <c r="J57" s="60" t="s">
        <v>384</v>
      </c>
      <c r="K57" s="60" t="s">
        <v>388</v>
      </c>
      <c r="L57">
        <v>50</v>
      </c>
      <c r="N57" t="s">
        <v>34</v>
      </c>
      <c r="O57" t="s">
        <v>31</v>
      </c>
      <c r="P57" t="s">
        <v>113</v>
      </c>
      <c r="Q57" t="s">
        <v>32</v>
      </c>
      <c r="R57">
        <v>6146</v>
      </c>
      <c r="S57" t="s">
        <v>152</v>
      </c>
      <c r="U57" t="s">
        <v>152</v>
      </c>
      <c r="V57" t="s">
        <v>153</v>
      </c>
      <c r="W57" t="s">
        <v>137</v>
      </c>
      <c r="X57" t="s">
        <v>196</v>
      </c>
      <c r="Y57" t="s">
        <v>197</v>
      </c>
      <c r="Z57" t="s">
        <v>63</v>
      </c>
      <c r="AA57" t="s">
        <v>63</v>
      </c>
      <c r="AB57" t="s">
        <v>225</v>
      </c>
      <c r="AC57">
        <v>18.59</v>
      </c>
      <c r="AE57">
        <v>7083106</v>
      </c>
      <c r="AF57">
        <v>1491694</v>
      </c>
      <c r="AG57">
        <v>33.81</v>
      </c>
      <c r="AH57">
        <v>193.78700000000001</v>
      </c>
      <c r="AI57">
        <v>39.6</v>
      </c>
      <c r="AJ57">
        <v>60</v>
      </c>
      <c r="AL57" t="s">
        <v>236</v>
      </c>
    </row>
    <row r="58" spans="1:38" x14ac:dyDescent="0.15">
      <c r="A58" t="s">
        <v>299</v>
      </c>
      <c r="B58">
        <v>27</v>
      </c>
      <c r="C58" t="s">
        <v>204</v>
      </c>
      <c r="D58">
        <v>45441</v>
      </c>
      <c r="E58" s="60" t="s">
        <v>382</v>
      </c>
      <c r="F58" t="s">
        <v>59</v>
      </c>
      <c r="G58" t="s">
        <v>357</v>
      </c>
      <c r="H58" s="60" t="s">
        <v>381</v>
      </c>
      <c r="I58" s="60" t="s">
        <v>385</v>
      </c>
      <c r="J58" s="60" t="s">
        <v>384</v>
      </c>
      <c r="K58" s="60" t="s">
        <v>388</v>
      </c>
      <c r="L58">
        <v>50</v>
      </c>
      <c r="N58" t="s">
        <v>125</v>
      </c>
      <c r="O58" t="s">
        <v>31</v>
      </c>
      <c r="P58" t="s">
        <v>74</v>
      </c>
      <c r="Q58" t="s">
        <v>32</v>
      </c>
      <c r="R58">
        <v>6147</v>
      </c>
      <c r="S58" t="s">
        <v>154</v>
      </c>
      <c r="U58" t="s">
        <v>154</v>
      </c>
      <c r="V58">
        <v>161</v>
      </c>
      <c r="W58" t="s">
        <v>155</v>
      </c>
      <c r="X58" t="s">
        <v>198</v>
      </c>
      <c r="Y58" t="s">
        <v>126</v>
      </c>
      <c r="Z58" t="s">
        <v>63</v>
      </c>
      <c r="AA58" t="s">
        <v>63</v>
      </c>
      <c r="AB58" t="s">
        <v>226</v>
      </c>
      <c r="AC58">
        <v>26.98</v>
      </c>
      <c r="AE58">
        <v>515535</v>
      </c>
      <c r="AF58">
        <v>2921788</v>
      </c>
      <c r="AG58">
        <v>66.23</v>
      </c>
      <c r="AH58">
        <v>13.4572</v>
      </c>
      <c r="AI58">
        <v>39.6</v>
      </c>
      <c r="AJ58">
        <v>60</v>
      </c>
      <c r="AL58" t="s">
        <v>240</v>
      </c>
    </row>
    <row r="59" spans="1:38" ht="17" customHeight="1" x14ac:dyDescent="0.15">
      <c r="A59" t="s">
        <v>300</v>
      </c>
      <c r="B59">
        <v>28</v>
      </c>
      <c r="C59" t="s">
        <v>204</v>
      </c>
      <c r="D59">
        <v>45441</v>
      </c>
      <c r="E59" s="60" t="s">
        <v>382</v>
      </c>
      <c r="F59" t="s">
        <v>59</v>
      </c>
      <c r="G59" t="s">
        <v>357</v>
      </c>
      <c r="H59" s="60" t="s">
        <v>381</v>
      </c>
      <c r="I59" s="60" t="s">
        <v>385</v>
      </c>
      <c r="J59" s="60" t="s">
        <v>384</v>
      </c>
      <c r="K59" s="60" t="s">
        <v>388</v>
      </c>
      <c r="L59">
        <v>50</v>
      </c>
      <c r="N59" t="s">
        <v>43</v>
      </c>
      <c r="O59" t="s">
        <v>31</v>
      </c>
      <c r="P59" t="s">
        <v>40</v>
      </c>
      <c r="Q59" t="s">
        <v>32</v>
      </c>
      <c r="R59">
        <v>6152</v>
      </c>
      <c r="S59" t="s">
        <v>156</v>
      </c>
      <c r="U59" t="s">
        <v>156</v>
      </c>
      <c r="V59">
        <v>151</v>
      </c>
      <c r="W59" t="s">
        <v>157</v>
      </c>
      <c r="X59" t="s">
        <v>189</v>
      </c>
      <c r="Y59" t="s">
        <v>199</v>
      </c>
      <c r="Z59" t="s">
        <v>63</v>
      </c>
      <c r="AA59" t="s">
        <v>63</v>
      </c>
      <c r="AB59" t="s">
        <v>227</v>
      </c>
      <c r="AC59">
        <v>21.59</v>
      </c>
      <c r="AE59">
        <v>867329</v>
      </c>
      <c r="AF59">
        <v>2571482</v>
      </c>
      <c r="AG59">
        <v>58.29</v>
      </c>
      <c r="AH59">
        <v>22.396599999999999</v>
      </c>
      <c r="AI59">
        <v>39.5</v>
      </c>
      <c r="AJ59">
        <v>60</v>
      </c>
      <c r="AK59" t="s">
        <v>237</v>
      </c>
      <c r="AL59" t="s">
        <v>236</v>
      </c>
    </row>
    <row r="60" spans="1:38" x14ac:dyDescent="0.15">
      <c r="A60" t="s">
        <v>301</v>
      </c>
      <c r="B60">
        <v>29</v>
      </c>
      <c r="C60" t="s">
        <v>204</v>
      </c>
      <c r="D60">
        <v>45441</v>
      </c>
      <c r="E60" s="60" t="s">
        <v>382</v>
      </c>
      <c r="F60" t="s">
        <v>59</v>
      </c>
      <c r="G60" t="s">
        <v>357</v>
      </c>
      <c r="H60" s="60" t="s">
        <v>381</v>
      </c>
      <c r="I60" s="60" t="s">
        <v>385</v>
      </c>
      <c r="J60" s="60" t="s">
        <v>384</v>
      </c>
      <c r="K60" s="60" t="s">
        <v>388</v>
      </c>
      <c r="L60">
        <v>50</v>
      </c>
      <c r="N60" t="s">
        <v>34</v>
      </c>
      <c r="O60" t="s">
        <v>31</v>
      </c>
      <c r="P60" t="s">
        <v>40</v>
      </c>
      <c r="Q60" t="s">
        <v>32</v>
      </c>
      <c r="R60">
        <v>6231</v>
      </c>
      <c r="S60" t="s">
        <v>158</v>
      </c>
      <c r="U60" t="s">
        <v>159</v>
      </c>
      <c r="V60">
        <v>640</v>
      </c>
      <c r="W60" t="s">
        <v>160</v>
      </c>
      <c r="X60" t="s">
        <v>200</v>
      </c>
      <c r="Y60" t="s">
        <v>180</v>
      </c>
      <c r="Z60" t="s">
        <v>201</v>
      </c>
      <c r="AA60" t="s">
        <v>106</v>
      </c>
      <c r="AB60" t="s">
        <v>228</v>
      </c>
      <c r="AC60">
        <v>18.27</v>
      </c>
      <c r="AE60">
        <v>27341768</v>
      </c>
      <c r="AF60">
        <v>4305933</v>
      </c>
      <c r="AG60">
        <v>97.61</v>
      </c>
      <c r="AH60">
        <v>811.03300000000002</v>
      </c>
      <c r="AI60">
        <v>39.5</v>
      </c>
      <c r="AJ60">
        <v>60</v>
      </c>
      <c r="AL60" t="s">
        <v>236</v>
      </c>
    </row>
    <row r="61" spans="1:38" x14ac:dyDescent="0.15">
      <c r="A61" t="s">
        <v>302</v>
      </c>
      <c r="B61">
        <v>30</v>
      </c>
      <c r="C61" t="s">
        <v>204</v>
      </c>
      <c r="D61">
        <v>45441</v>
      </c>
      <c r="E61" s="60" t="s">
        <v>382</v>
      </c>
      <c r="F61" t="s">
        <v>59</v>
      </c>
      <c r="G61" t="s">
        <v>357</v>
      </c>
      <c r="H61" s="60" t="s">
        <v>381</v>
      </c>
      <c r="I61" s="60" t="s">
        <v>385</v>
      </c>
      <c r="J61" s="60" t="s">
        <v>384</v>
      </c>
      <c r="K61" s="60" t="s">
        <v>388</v>
      </c>
      <c r="L61">
        <v>50</v>
      </c>
      <c r="N61" t="s">
        <v>38</v>
      </c>
      <c r="O61" t="s">
        <v>35</v>
      </c>
      <c r="P61" t="s">
        <v>29</v>
      </c>
      <c r="Q61" t="s">
        <v>29</v>
      </c>
      <c r="R61">
        <v>6246</v>
      </c>
      <c r="S61" t="s">
        <v>152</v>
      </c>
      <c r="U61" t="s">
        <v>152</v>
      </c>
      <c r="V61" t="s">
        <v>153</v>
      </c>
      <c r="W61" t="s">
        <v>137</v>
      </c>
      <c r="X61" t="s">
        <v>202</v>
      </c>
      <c r="Y61" t="s">
        <v>203</v>
      </c>
      <c r="Z61" t="s">
        <v>63</v>
      </c>
      <c r="AA61" t="s">
        <v>63</v>
      </c>
      <c r="AB61" t="s">
        <v>229</v>
      </c>
      <c r="AC61">
        <v>20.59</v>
      </c>
      <c r="AE61">
        <v>12772952</v>
      </c>
      <c r="AF61">
        <v>2429093</v>
      </c>
      <c r="AG61">
        <v>55.06</v>
      </c>
      <c r="AH61">
        <v>361.42500000000001</v>
      </c>
      <c r="AI61">
        <v>39.6</v>
      </c>
      <c r="AJ61">
        <v>60</v>
      </c>
      <c r="AL61" t="s">
        <v>241</v>
      </c>
    </row>
  </sheetData>
  <autoFilter ref="A1:AL61" xr:uid="{77FCBDCD-8DAE-AB40-A1EF-769E24854A98}"/>
  <phoneticPr fontId="9" type="noConversion"/>
  <pageMargins left="0.7" right="0.7" top="0.75" bottom="0.75" header="0.3" footer="0.3"/>
  <legacy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DAA23FD-3FAD-4905-ACAE-97741AC45D76}">
  <dimension ref="A1:G9"/>
  <sheetViews>
    <sheetView workbookViewId="0">
      <selection activeCell="F15" sqref="F15"/>
    </sheetView>
  </sheetViews>
  <sheetFormatPr baseColWidth="10" defaultColWidth="8.83203125" defaultRowHeight="13" x14ac:dyDescent="0.15"/>
  <cols>
    <col min="2" max="2" width="10.33203125" customWidth="1"/>
    <col min="4" max="4" width="11.1640625" bestFit="1" customWidth="1"/>
    <col min="6" max="6" width="10.33203125" bestFit="1" customWidth="1"/>
    <col min="7" max="7" width="94.83203125" customWidth="1"/>
  </cols>
  <sheetData>
    <row r="1" spans="1:7" ht="39.5" customHeight="1" x14ac:dyDescent="0.15">
      <c r="A1" s="5" t="s">
        <v>242</v>
      </c>
      <c r="B1" s="6" t="s">
        <v>14</v>
      </c>
      <c r="C1" s="6" t="s">
        <v>15</v>
      </c>
      <c r="D1" s="6" t="s">
        <v>16</v>
      </c>
      <c r="E1" s="6" t="s">
        <v>17</v>
      </c>
      <c r="F1" s="54" t="s">
        <v>343</v>
      </c>
      <c r="G1" s="54" t="s">
        <v>208</v>
      </c>
    </row>
    <row r="2" spans="1:7" ht="14" x14ac:dyDescent="0.15">
      <c r="A2" s="55" t="s">
        <v>254</v>
      </c>
      <c r="B2" s="18" t="s">
        <v>35</v>
      </c>
      <c r="C2" s="18" t="s">
        <v>29</v>
      </c>
      <c r="D2" s="18" t="s">
        <v>29</v>
      </c>
      <c r="E2" s="18">
        <v>5064</v>
      </c>
      <c r="F2" s="58" t="s">
        <v>314</v>
      </c>
      <c r="G2" s="57" t="s">
        <v>233</v>
      </c>
    </row>
    <row r="3" spans="1:7" ht="30" customHeight="1" x14ac:dyDescent="0.15">
      <c r="A3" s="55" t="s">
        <v>260</v>
      </c>
      <c r="B3" s="18" t="s">
        <v>35</v>
      </c>
      <c r="C3" s="18" t="s">
        <v>29</v>
      </c>
      <c r="D3" s="18" t="s">
        <v>29</v>
      </c>
      <c r="E3" s="18">
        <v>5638</v>
      </c>
      <c r="F3" s="58" t="s">
        <v>320</v>
      </c>
      <c r="G3" s="57" t="s">
        <v>347</v>
      </c>
    </row>
    <row r="4" spans="1:7" ht="14" x14ac:dyDescent="0.15">
      <c r="A4" s="56" t="s">
        <v>272</v>
      </c>
      <c r="B4" s="39" t="s">
        <v>31</v>
      </c>
      <c r="C4" s="25" t="s">
        <v>32</v>
      </c>
      <c r="D4" s="25" t="s">
        <v>29</v>
      </c>
      <c r="E4" s="25">
        <v>4018</v>
      </c>
      <c r="F4" s="58" t="s">
        <v>332</v>
      </c>
      <c r="G4" s="57" t="s">
        <v>350</v>
      </c>
    </row>
    <row r="5" spans="1:7" ht="14" x14ac:dyDescent="0.15">
      <c r="A5" s="55" t="s">
        <v>273</v>
      </c>
      <c r="B5" s="31" t="s">
        <v>31</v>
      </c>
      <c r="C5" s="18" t="s">
        <v>40</v>
      </c>
      <c r="D5" s="18" t="s">
        <v>61</v>
      </c>
      <c r="E5" s="18">
        <v>5918</v>
      </c>
      <c r="F5" s="58" t="s">
        <v>333</v>
      </c>
      <c r="G5" s="57" t="s">
        <v>348</v>
      </c>
    </row>
    <row r="6" spans="1:7" ht="14" x14ac:dyDescent="0.15">
      <c r="A6" s="55" t="s">
        <v>276</v>
      </c>
      <c r="B6" s="31" t="s">
        <v>35</v>
      </c>
      <c r="C6" s="18" t="s">
        <v>29</v>
      </c>
      <c r="D6" s="18" t="s">
        <v>29</v>
      </c>
      <c r="E6" s="18">
        <v>5834</v>
      </c>
      <c r="F6" s="58" t="s">
        <v>336</v>
      </c>
      <c r="G6" s="57" t="s">
        <v>349</v>
      </c>
    </row>
    <row r="7" spans="1:7" ht="15" thickBot="1" x14ac:dyDescent="0.2">
      <c r="A7" s="55" t="s">
        <v>279</v>
      </c>
      <c r="B7" s="31" t="s">
        <v>31</v>
      </c>
      <c r="C7" s="18" t="s">
        <v>74</v>
      </c>
      <c r="D7" s="18" t="s">
        <v>32</v>
      </c>
      <c r="E7" s="18">
        <v>5762</v>
      </c>
      <c r="F7" s="58" t="s">
        <v>339</v>
      </c>
      <c r="G7" s="57" t="s">
        <v>349</v>
      </c>
    </row>
    <row r="8" spans="1:7" ht="15" thickBot="1" x14ac:dyDescent="0.2">
      <c r="A8" s="55" t="s">
        <v>286</v>
      </c>
      <c r="B8" s="53" t="s">
        <v>31</v>
      </c>
      <c r="C8" s="53" t="s">
        <v>40</v>
      </c>
      <c r="D8" s="53" t="s">
        <v>32</v>
      </c>
      <c r="E8" s="53">
        <v>6073</v>
      </c>
      <c r="F8" s="59" t="s">
        <v>213</v>
      </c>
      <c r="G8" s="52" t="s">
        <v>233</v>
      </c>
    </row>
    <row r="9" spans="1:7" ht="15" thickBot="1" x14ac:dyDescent="0.2">
      <c r="A9" s="55" t="s">
        <v>300</v>
      </c>
      <c r="B9" s="53" t="s">
        <v>31</v>
      </c>
      <c r="C9" s="53" t="s">
        <v>40</v>
      </c>
      <c r="D9" s="53" t="s">
        <v>32</v>
      </c>
      <c r="E9" s="53">
        <v>6152</v>
      </c>
      <c r="F9" s="59" t="s">
        <v>227</v>
      </c>
      <c r="G9" s="52" t="s">
        <v>237</v>
      </c>
    </row>
  </sheetData>
  <pageMargins left="0.7" right="0.7" top="0.75" bottom="0.75" header="0.3" footer="0.3"/>
  <legacy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V1000"/>
  <sheetViews>
    <sheetView zoomScale="75" workbookViewId="0">
      <selection activeCell="F2" sqref="A2:XFD2"/>
    </sheetView>
  </sheetViews>
  <sheetFormatPr baseColWidth="10" defaultColWidth="12.6640625" defaultRowHeight="15" customHeight="1" x14ac:dyDescent="0.15"/>
  <cols>
    <col min="1" max="2" width="8.6640625" customWidth="1"/>
    <col min="3" max="3" width="7.33203125" customWidth="1"/>
    <col min="4" max="4" width="11" customWidth="1"/>
    <col min="5" max="5" width="13.33203125" customWidth="1"/>
    <col min="6" max="6" width="11" customWidth="1"/>
    <col min="7" max="9" width="9.33203125" customWidth="1"/>
    <col min="10" max="10" width="8.83203125" customWidth="1"/>
    <col min="11" max="11" width="9.1640625" customWidth="1"/>
    <col min="12" max="12" width="11.83203125" customWidth="1"/>
    <col min="13" max="13" width="10" customWidth="1"/>
    <col min="14" max="14" width="8.33203125" customWidth="1"/>
    <col min="15" max="15" width="9.6640625" customWidth="1"/>
    <col min="16" max="16" width="9.1640625" customWidth="1"/>
    <col min="17" max="17" width="10.33203125" customWidth="1"/>
    <col min="18" max="18" width="10.83203125" hidden="1" customWidth="1"/>
    <col min="19" max="21" width="9.5" customWidth="1"/>
    <col min="22" max="22" width="12.5" customWidth="1"/>
    <col min="24" max="24" width="8" customWidth="1"/>
    <col min="25" max="25" width="11.33203125" customWidth="1"/>
    <col min="26" max="26" width="6.6640625" customWidth="1"/>
    <col min="27" max="27" width="10.83203125" customWidth="1"/>
    <col min="28" max="28" width="11.5" customWidth="1"/>
  </cols>
  <sheetData>
    <row r="1" spans="1:22" ht="15.75" customHeight="1" x14ac:dyDescent="0.15"/>
    <row r="2" spans="1:22" ht="15.75" customHeight="1" x14ac:dyDescent="0.15">
      <c r="C2" s="1"/>
      <c r="D2" s="1"/>
      <c r="E2" s="1"/>
      <c r="F2" s="1"/>
      <c r="G2" s="2"/>
      <c r="H2" s="2"/>
      <c r="I2" s="2"/>
      <c r="J2" s="61" t="s">
        <v>0</v>
      </c>
      <c r="K2" s="62"/>
      <c r="L2" s="62"/>
      <c r="M2" s="62"/>
      <c r="N2" s="63"/>
      <c r="O2" s="61" t="s">
        <v>1</v>
      </c>
      <c r="P2" s="62"/>
      <c r="Q2" s="62"/>
      <c r="R2" s="3"/>
      <c r="S2" s="4"/>
      <c r="T2" s="61" t="s">
        <v>2</v>
      </c>
      <c r="U2" s="62"/>
      <c r="V2" s="4" t="s">
        <v>3</v>
      </c>
    </row>
    <row r="3" spans="1:22" ht="48" customHeight="1" x14ac:dyDescent="0.15">
      <c r="A3" s="5" t="s">
        <v>4</v>
      </c>
      <c r="B3" s="6" t="s">
        <v>5</v>
      </c>
      <c r="C3" s="6" t="s">
        <v>6</v>
      </c>
      <c r="D3" s="6" t="s">
        <v>7</v>
      </c>
      <c r="E3" s="6" t="s">
        <v>8</v>
      </c>
      <c r="F3" s="6" t="s">
        <v>9</v>
      </c>
      <c r="G3" s="6" t="s">
        <v>10</v>
      </c>
      <c r="H3" s="6" t="s">
        <v>11</v>
      </c>
      <c r="I3" s="6" t="s">
        <v>12</v>
      </c>
      <c r="J3" s="6" t="s">
        <v>13</v>
      </c>
      <c r="K3" s="6" t="s">
        <v>14</v>
      </c>
      <c r="L3" s="6" t="s">
        <v>15</v>
      </c>
      <c r="M3" s="6" t="s">
        <v>16</v>
      </c>
      <c r="N3" s="6" t="s">
        <v>17</v>
      </c>
      <c r="O3" s="7" t="s">
        <v>18</v>
      </c>
      <c r="P3" s="7" t="s">
        <v>19</v>
      </c>
      <c r="Q3" s="7" t="s">
        <v>20</v>
      </c>
      <c r="R3" s="7" t="s">
        <v>21</v>
      </c>
      <c r="S3" s="7" t="s">
        <v>22</v>
      </c>
      <c r="T3" s="6" t="s">
        <v>23</v>
      </c>
      <c r="U3" s="6" t="s">
        <v>24</v>
      </c>
      <c r="V3" s="6" t="s">
        <v>25</v>
      </c>
    </row>
    <row r="4" spans="1:22" ht="15.75" customHeight="1" x14ac:dyDescent="0.15">
      <c r="A4" s="8">
        <v>1</v>
      </c>
      <c r="B4" s="9">
        <v>1</v>
      </c>
      <c r="C4" s="9" t="s">
        <v>26</v>
      </c>
      <c r="D4" s="10">
        <v>45428</v>
      </c>
      <c r="E4" s="11" t="s">
        <v>27</v>
      </c>
      <c r="F4" s="11" t="s">
        <v>28</v>
      </c>
      <c r="G4" s="11" t="s">
        <v>29</v>
      </c>
      <c r="H4" s="12">
        <v>50</v>
      </c>
      <c r="I4" s="9">
        <v>30</v>
      </c>
      <c r="J4" s="9" t="s">
        <v>30</v>
      </c>
      <c r="K4" s="12" t="s">
        <v>31</v>
      </c>
      <c r="L4" s="12" t="s">
        <v>32</v>
      </c>
      <c r="M4" s="12" t="s">
        <v>29</v>
      </c>
      <c r="N4" s="12">
        <v>4018</v>
      </c>
      <c r="O4" s="13">
        <v>1.64</v>
      </c>
      <c r="P4" s="13">
        <v>1.69</v>
      </c>
      <c r="Q4" s="13">
        <f>AVERAGE(O4:P4)</f>
        <v>1.665</v>
      </c>
      <c r="R4" s="9">
        <f t="shared" ref="R4:R43" si="0">Q4*H4</f>
        <v>83.25</v>
      </c>
      <c r="S4" s="46">
        <f t="shared" ref="S4:S43" si="1">R4/1000</f>
        <v>8.3250000000000005E-2</v>
      </c>
      <c r="T4" s="14">
        <v>1.73</v>
      </c>
      <c r="U4" s="14">
        <v>1.72</v>
      </c>
      <c r="V4" s="49">
        <v>5.9</v>
      </c>
    </row>
    <row r="5" spans="1:22" ht="15.75" customHeight="1" x14ac:dyDescent="0.15">
      <c r="A5" s="15">
        <v>2</v>
      </c>
      <c r="B5" s="2">
        <v>2</v>
      </c>
      <c r="C5" s="2" t="s">
        <v>33</v>
      </c>
      <c r="D5" s="16">
        <v>45428</v>
      </c>
      <c r="E5" s="17" t="s">
        <v>27</v>
      </c>
      <c r="F5" s="17" t="s">
        <v>28</v>
      </c>
      <c r="G5" s="17" t="s">
        <v>29</v>
      </c>
      <c r="H5" s="18">
        <v>50</v>
      </c>
      <c r="I5" s="2">
        <v>30</v>
      </c>
      <c r="J5" s="2" t="s">
        <v>34</v>
      </c>
      <c r="K5" s="18" t="s">
        <v>35</v>
      </c>
      <c r="L5" s="18" t="s">
        <v>29</v>
      </c>
      <c r="M5" s="18" t="s">
        <v>29</v>
      </c>
      <c r="N5" s="18">
        <v>5064</v>
      </c>
      <c r="O5" s="19">
        <v>7.41</v>
      </c>
      <c r="P5" s="19">
        <v>4.4400000000000004</v>
      </c>
      <c r="Q5" s="19">
        <f>AVERAGE(O5:P5)</f>
        <v>5.9250000000000007</v>
      </c>
      <c r="R5" s="2">
        <f t="shared" si="0"/>
        <v>296.25000000000006</v>
      </c>
      <c r="S5" s="47">
        <f t="shared" si="1"/>
        <v>0.29625000000000007</v>
      </c>
      <c r="T5" s="20">
        <v>1.89</v>
      </c>
      <c r="U5" s="20">
        <v>1.87</v>
      </c>
      <c r="V5" s="50">
        <v>4.9000000000000004</v>
      </c>
    </row>
    <row r="6" spans="1:22" ht="15.75" customHeight="1" x14ac:dyDescent="0.15">
      <c r="A6" s="15">
        <v>3</v>
      </c>
      <c r="B6" s="2">
        <v>3</v>
      </c>
      <c r="C6" s="2" t="s">
        <v>36</v>
      </c>
      <c r="D6" s="16">
        <v>45428</v>
      </c>
      <c r="E6" s="17" t="s">
        <v>27</v>
      </c>
      <c r="F6" s="17" t="s">
        <v>28</v>
      </c>
      <c r="G6" s="17" t="s">
        <v>29</v>
      </c>
      <c r="H6" s="18">
        <v>50</v>
      </c>
      <c r="I6" s="2">
        <v>30</v>
      </c>
      <c r="J6" s="2" t="s">
        <v>34</v>
      </c>
      <c r="K6" s="18" t="s">
        <v>35</v>
      </c>
      <c r="L6" s="18" t="s">
        <v>29</v>
      </c>
      <c r="M6" s="18" t="s">
        <v>29</v>
      </c>
      <c r="N6" s="18">
        <v>5073</v>
      </c>
      <c r="O6" s="19">
        <f>4.44*10</f>
        <v>44.400000000000006</v>
      </c>
      <c r="P6" s="19">
        <f>4.91*10</f>
        <v>49.1</v>
      </c>
      <c r="Q6" s="19">
        <f t="shared" ref="Q6:Q43" si="2">AVERAGE(O6:P6)</f>
        <v>46.75</v>
      </c>
      <c r="R6" s="2">
        <f t="shared" si="0"/>
        <v>2337.5</v>
      </c>
      <c r="S6" s="47">
        <f t="shared" si="1"/>
        <v>2.3374999999999999</v>
      </c>
      <c r="T6" s="20">
        <v>1.92</v>
      </c>
      <c r="U6" s="20">
        <v>2.34</v>
      </c>
      <c r="V6" s="50">
        <v>2.1</v>
      </c>
    </row>
    <row r="7" spans="1:22" ht="15.75" customHeight="1" x14ac:dyDescent="0.15">
      <c r="A7" s="15">
        <v>4</v>
      </c>
      <c r="B7" s="2">
        <v>4</v>
      </c>
      <c r="C7" s="2" t="s">
        <v>37</v>
      </c>
      <c r="D7" s="16">
        <v>45428</v>
      </c>
      <c r="E7" s="17" t="s">
        <v>27</v>
      </c>
      <c r="F7" s="17" t="s">
        <v>28</v>
      </c>
      <c r="G7" s="17" t="s">
        <v>29</v>
      </c>
      <c r="H7" s="18">
        <v>50</v>
      </c>
      <c r="I7" s="2">
        <v>30</v>
      </c>
      <c r="J7" s="2" t="s">
        <v>38</v>
      </c>
      <c r="K7" s="18" t="s">
        <v>35</v>
      </c>
      <c r="L7" s="18" t="s">
        <v>29</v>
      </c>
      <c r="M7" s="18" t="s">
        <v>29</v>
      </c>
      <c r="N7" s="18">
        <v>5236</v>
      </c>
      <c r="O7" s="19">
        <f>4.23*10</f>
        <v>42.300000000000004</v>
      </c>
      <c r="P7" s="19">
        <f>10*4.05</f>
        <v>40.5</v>
      </c>
      <c r="Q7" s="19">
        <f t="shared" si="2"/>
        <v>41.400000000000006</v>
      </c>
      <c r="R7" s="2">
        <f t="shared" si="0"/>
        <v>2070.0000000000005</v>
      </c>
      <c r="S7" s="47">
        <f t="shared" si="1"/>
        <v>2.0700000000000003</v>
      </c>
      <c r="T7" s="20">
        <v>1.9</v>
      </c>
      <c r="U7" s="20">
        <v>2.0499999999999998</v>
      </c>
      <c r="V7" s="50">
        <v>2.2000000000000002</v>
      </c>
    </row>
    <row r="8" spans="1:22" ht="15.75" customHeight="1" x14ac:dyDescent="0.15">
      <c r="A8" s="15">
        <v>5</v>
      </c>
      <c r="B8" s="2">
        <v>5</v>
      </c>
      <c r="C8" s="2" t="s">
        <v>39</v>
      </c>
      <c r="D8" s="16">
        <v>45428</v>
      </c>
      <c r="E8" s="17" t="s">
        <v>27</v>
      </c>
      <c r="F8" s="17" t="s">
        <v>28</v>
      </c>
      <c r="G8" s="17" t="s">
        <v>29</v>
      </c>
      <c r="H8" s="18">
        <v>50</v>
      </c>
      <c r="I8" s="2">
        <v>30</v>
      </c>
      <c r="J8" s="2" t="s">
        <v>38</v>
      </c>
      <c r="K8" s="18" t="s">
        <v>31</v>
      </c>
      <c r="L8" s="18" t="s">
        <v>40</v>
      </c>
      <c r="M8" s="18" t="s">
        <v>32</v>
      </c>
      <c r="N8" s="18">
        <v>5408</v>
      </c>
      <c r="O8" s="19">
        <f>10*5.02</f>
        <v>50.199999999999996</v>
      </c>
      <c r="P8" s="19">
        <f>10*5.09</f>
        <v>50.9</v>
      </c>
      <c r="Q8" s="19">
        <f t="shared" si="2"/>
        <v>50.55</v>
      </c>
      <c r="R8" s="2">
        <f t="shared" si="0"/>
        <v>2527.5</v>
      </c>
      <c r="S8" s="47">
        <f t="shared" si="1"/>
        <v>2.5274999999999999</v>
      </c>
      <c r="T8" s="20">
        <v>1.9</v>
      </c>
      <c r="U8" s="20">
        <v>2.25</v>
      </c>
      <c r="V8" s="50">
        <v>1.8</v>
      </c>
    </row>
    <row r="9" spans="1:22" ht="15.75" customHeight="1" x14ac:dyDescent="0.15">
      <c r="A9" s="15">
        <v>6</v>
      </c>
      <c r="B9" s="2">
        <v>6</v>
      </c>
      <c r="C9" s="2" t="s">
        <v>41</v>
      </c>
      <c r="D9" s="16">
        <v>45428</v>
      </c>
      <c r="E9" s="17" t="s">
        <v>27</v>
      </c>
      <c r="F9" s="17" t="s">
        <v>28</v>
      </c>
      <c r="G9" s="17" t="s">
        <v>29</v>
      </c>
      <c r="H9" s="18">
        <v>50</v>
      </c>
      <c r="I9" s="2">
        <v>30</v>
      </c>
      <c r="J9" s="2" t="s">
        <v>38</v>
      </c>
      <c r="K9" s="18" t="s">
        <v>35</v>
      </c>
      <c r="L9" s="18" t="s">
        <v>29</v>
      </c>
      <c r="M9" s="18" t="s">
        <v>29</v>
      </c>
      <c r="N9" s="18">
        <v>5492</v>
      </c>
      <c r="O9" s="19">
        <f>100*5.4</f>
        <v>540</v>
      </c>
      <c r="P9" s="19">
        <f>100*5.3</f>
        <v>530</v>
      </c>
      <c r="Q9" s="19">
        <f t="shared" si="2"/>
        <v>535</v>
      </c>
      <c r="R9" s="2">
        <f t="shared" si="0"/>
        <v>26750</v>
      </c>
      <c r="S9" s="47">
        <f t="shared" si="1"/>
        <v>26.75</v>
      </c>
      <c r="T9" s="20">
        <v>1.86</v>
      </c>
      <c r="U9" s="20">
        <v>2.19</v>
      </c>
      <c r="V9" s="50">
        <v>3.9</v>
      </c>
    </row>
    <row r="10" spans="1:22" ht="15.75" customHeight="1" x14ac:dyDescent="0.15">
      <c r="A10" s="15">
        <v>7</v>
      </c>
      <c r="B10" s="2">
        <v>7</v>
      </c>
      <c r="C10" s="2" t="s">
        <v>42</v>
      </c>
      <c r="D10" s="16">
        <v>45428</v>
      </c>
      <c r="E10" s="17" t="s">
        <v>27</v>
      </c>
      <c r="F10" s="17" t="s">
        <v>28</v>
      </c>
      <c r="G10" s="17" t="s">
        <v>29</v>
      </c>
      <c r="H10" s="18">
        <v>50</v>
      </c>
      <c r="I10" s="2">
        <v>30</v>
      </c>
      <c r="J10" s="2" t="s">
        <v>43</v>
      </c>
      <c r="K10" s="18" t="s">
        <v>31</v>
      </c>
      <c r="L10" s="18" t="s">
        <v>40</v>
      </c>
      <c r="M10" s="18" t="s">
        <v>32</v>
      </c>
      <c r="N10" s="18">
        <v>5597</v>
      </c>
      <c r="O10" s="19">
        <f>10*3.31</f>
        <v>33.1</v>
      </c>
      <c r="P10" s="19">
        <f>10*3.08</f>
        <v>30.8</v>
      </c>
      <c r="Q10" s="19">
        <f t="shared" si="2"/>
        <v>31.950000000000003</v>
      </c>
      <c r="R10" s="2">
        <f t="shared" si="0"/>
        <v>1597.5000000000002</v>
      </c>
      <c r="S10" s="47">
        <f t="shared" si="1"/>
        <v>1.5975000000000001</v>
      </c>
      <c r="T10" s="20">
        <v>1.94</v>
      </c>
      <c r="U10" s="20">
        <v>2.42</v>
      </c>
      <c r="V10" s="50">
        <v>2.4</v>
      </c>
    </row>
    <row r="11" spans="1:22" ht="15.75" customHeight="1" x14ac:dyDescent="0.15">
      <c r="A11" s="15">
        <v>8</v>
      </c>
      <c r="B11" s="2">
        <v>8</v>
      </c>
      <c r="C11" s="2" t="s">
        <v>44</v>
      </c>
      <c r="D11" s="16">
        <v>45428</v>
      </c>
      <c r="E11" s="17" t="s">
        <v>27</v>
      </c>
      <c r="F11" s="17" t="s">
        <v>28</v>
      </c>
      <c r="G11" s="17" t="s">
        <v>29</v>
      </c>
      <c r="H11" s="18">
        <v>50</v>
      </c>
      <c r="I11" s="2">
        <v>30</v>
      </c>
      <c r="J11" s="2" t="s">
        <v>34</v>
      </c>
      <c r="K11" s="18" t="s">
        <v>35</v>
      </c>
      <c r="L11" s="18" t="s">
        <v>29</v>
      </c>
      <c r="M11" s="18" t="s">
        <v>29</v>
      </c>
      <c r="N11" s="18">
        <v>5638</v>
      </c>
      <c r="O11" s="19">
        <v>2.11</v>
      </c>
      <c r="P11" s="19">
        <v>2.15</v>
      </c>
      <c r="Q11" s="19">
        <f t="shared" si="2"/>
        <v>2.13</v>
      </c>
      <c r="R11" s="2">
        <f t="shared" si="0"/>
        <v>106.5</v>
      </c>
      <c r="S11" s="47">
        <f t="shared" si="1"/>
        <v>0.1065</v>
      </c>
      <c r="T11" s="20">
        <v>1.74</v>
      </c>
      <c r="U11" s="20">
        <v>1.85</v>
      </c>
      <c r="V11" s="50">
        <v>1.7</v>
      </c>
    </row>
    <row r="12" spans="1:22" ht="15.75" customHeight="1" x14ac:dyDescent="0.15">
      <c r="A12" s="15">
        <v>9</v>
      </c>
      <c r="B12" s="2">
        <v>9</v>
      </c>
      <c r="C12" s="2" t="s">
        <v>45</v>
      </c>
      <c r="D12" s="16">
        <v>45428</v>
      </c>
      <c r="E12" s="17" t="s">
        <v>27</v>
      </c>
      <c r="F12" s="17" t="s">
        <v>28</v>
      </c>
      <c r="G12" s="17" t="s">
        <v>29</v>
      </c>
      <c r="H12" s="18">
        <v>50</v>
      </c>
      <c r="I12" s="2">
        <v>30</v>
      </c>
      <c r="J12" s="2" t="s">
        <v>34</v>
      </c>
      <c r="K12" s="18" t="s">
        <v>35</v>
      </c>
      <c r="L12" s="18" t="s">
        <v>29</v>
      </c>
      <c r="M12" s="18" t="s">
        <v>29</v>
      </c>
      <c r="N12" s="18">
        <v>5647</v>
      </c>
      <c r="O12" s="19">
        <v>1.5</v>
      </c>
      <c r="P12" s="19">
        <v>1.41</v>
      </c>
      <c r="Q12" s="19">
        <f t="shared" si="2"/>
        <v>1.4550000000000001</v>
      </c>
      <c r="R12" s="2">
        <f t="shared" si="0"/>
        <v>72.75</v>
      </c>
      <c r="S12" s="47">
        <f t="shared" si="1"/>
        <v>7.2749999999999995E-2</v>
      </c>
      <c r="T12" s="20">
        <v>2.11</v>
      </c>
      <c r="U12" s="20">
        <v>1.03</v>
      </c>
      <c r="V12" s="50">
        <v>2.1</v>
      </c>
    </row>
    <row r="13" spans="1:22" ht="15.75" customHeight="1" x14ac:dyDescent="0.15">
      <c r="A13" s="21">
        <v>10</v>
      </c>
      <c r="B13" s="22">
        <v>10</v>
      </c>
      <c r="C13" s="22" t="s">
        <v>46</v>
      </c>
      <c r="D13" s="23">
        <v>45428</v>
      </c>
      <c r="E13" s="24" t="s">
        <v>27</v>
      </c>
      <c r="F13" s="24" t="s">
        <v>28</v>
      </c>
      <c r="G13" s="24" t="s">
        <v>29</v>
      </c>
      <c r="H13" s="25">
        <v>50</v>
      </c>
      <c r="I13" s="22">
        <v>30</v>
      </c>
      <c r="J13" s="22" t="s">
        <v>43</v>
      </c>
      <c r="K13" s="25" t="s">
        <v>35</v>
      </c>
      <c r="L13" s="25" t="s">
        <v>29</v>
      </c>
      <c r="M13" s="25" t="s">
        <v>29</v>
      </c>
      <c r="N13" s="25">
        <v>5791</v>
      </c>
      <c r="O13" s="26">
        <f>10*1.48</f>
        <v>14.8</v>
      </c>
      <c r="P13" s="26">
        <f>10*1.38</f>
        <v>13.799999999999999</v>
      </c>
      <c r="Q13" s="26">
        <f t="shared" si="2"/>
        <v>14.3</v>
      </c>
      <c r="R13" s="22">
        <f t="shared" si="0"/>
        <v>715</v>
      </c>
      <c r="S13" s="48">
        <f t="shared" si="1"/>
        <v>0.71499999999999997</v>
      </c>
      <c r="T13" s="27">
        <v>1.86</v>
      </c>
      <c r="U13" s="27">
        <v>1.87</v>
      </c>
      <c r="V13" s="51">
        <v>1.5</v>
      </c>
    </row>
    <row r="14" spans="1:22" ht="15.75" customHeight="1" x14ac:dyDescent="0.15">
      <c r="A14" s="15">
        <v>11</v>
      </c>
      <c r="B14" s="2">
        <v>1</v>
      </c>
      <c r="C14" s="2" t="s">
        <v>47</v>
      </c>
      <c r="D14" s="16">
        <v>45428</v>
      </c>
      <c r="E14" s="28" t="s">
        <v>27</v>
      </c>
      <c r="F14" s="28" t="s">
        <v>48</v>
      </c>
      <c r="G14" s="28" t="s">
        <v>29</v>
      </c>
      <c r="H14" s="18">
        <v>50</v>
      </c>
      <c r="I14" s="2">
        <v>30</v>
      </c>
      <c r="J14" s="2" t="s">
        <v>30</v>
      </c>
      <c r="K14" s="18" t="s">
        <v>31</v>
      </c>
      <c r="L14" s="18" t="s">
        <v>32</v>
      </c>
      <c r="M14" s="18" t="s">
        <v>29</v>
      </c>
      <c r="N14" s="18">
        <v>4018</v>
      </c>
      <c r="O14" s="19">
        <v>2.8</v>
      </c>
      <c r="P14" s="19">
        <v>2.5</v>
      </c>
      <c r="Q14" s="19">
        <f t="shared" si="2"/>
        <v>2.65</v>
      </c>
      <c r="R14" s="2">
        <f t="shared" si="0"/>
        <v>132.5</v>
      </c>
      <c r="S14" s="47">
        <f t="shared" si="1"/>
        <v>0.13250000000000001</v>
      </c>
      <c r="T14" s="20">
        <v>2.04</v>
      </c>
      <c r="U14" s="20">
        <v>0.78</v>
      </c>
      <c r="V14" s="50">
        <v>3.9</v>
      </c>
    </row>
    <row r="15" spans="1:22" ht="15.75" customHeight="1" x14ac:dyDescent="0.15">
      <c r="A15" s="15">
        <v>12</v>
      </c>
      <c r="B15" s="2">
        <v>2</v>
      </c>
      <c r="C15" s="2" t="s">
        <v>49</v>
      </c>
      <c r="D15" s="16">
        <v>45428</v>
      </c>
      <c r="E15" s="28" t="s">
        <v>27</v>
      </c>
      <c r="F15" s="28" t="s">
        <v>48</v>
      </c>
      <c r="G15" s="28" t="s">
        <v>29</v>
      </c>
      <c r="H15" s="18">
        <v>50</v>
      </c>
      <c r="I15" s="2">
        <v>30</v>
      </c>
      <c r="J15" s="2" t="s">
        <v>34</v>
      </c>
      <c r="K15" s="18" t="s">
        <v>35</v>
      </c>
      <c r="L15" s="18" t="s">
        <v>29</v>
      </c>
      <c r="M15" s="18" t="s">
        <v>29</v>
      </c>
      <c r="N15" s="18">
        <v>5064</v>
      </c>
      <c r="O15" s="19">
        <v>9.7799999999999994</v>
      </c>
      <c r="P15" s="19">
        <v>9.4499999999999993</v>
      </c>
      <c r="Q15" s="19">
        <f t="shared" si="2"/>
        <v>9.6149999999999984</v>
      </c>
      <c r="R15" s="2">
        <f t="shared" si="0"/>
        <v>480.74999999999994</v>
      </c>
      <c r="S15" s="47">
        <f t="shared" si="1"/>
        <v>0.48074999999999996</v>
      </c>
      <c r="T15" s="20">
        <v>2.0099999999999998</v>
      </c>
      <c r="U15" s="20">
        <v>1.48</v>
      </c>
      <c r="V15" s="50">
        <v>6</v>
      </c>
    </row>
    <row r="16" spans="1:22" ht="15.75" customHeight="1" x14ac:dyDescent="0.15">
      <c r="A16" s="15">
        <v>13</v>
      </c>
      <c r="B16" s="2">
        <v>3</v>
      </c>
      <c r="C16" s="2" t="s">
        <v>50</v>
      </c>
      <c r="D16" s="16">
        <v>45428</v>
      </c>
      <c r="E16" s="28" t="s">
        <v>27</v>
      </c>
      <c r="F16" s="28" t="s">
        <v>48</v>
      </c>
      <c r="G16" s="28" t="s">
        <v>29</v>
      </c>
      <c r="H16" s="18">
        <v>50</v>
      </c>
      <c r="I16" s="2">
        <v>30</v>
      </c>
      <c r="J16" s="2" t="s">
        <v>34</v>
      </c>
      <c r="K16" s="18" t="s">
        <v>35</v>
      </c>
      <c r="L16" s="18" t="s">
        <v>29</v>
      </c>
      <c r="M16" s="18" t="s">
        <v>29</v>
      </c>
      <c r="N16" s="18">
        <v>5073</v>
      </c>
      <c r="O16" s="19">
        <f>100*0.71</f>
        <v>71</v>
      </c>
      <c r="P16" s="19">
        <f>100*0.83</f>
        <v>83</v>
      </c>
      <c r="Q16" s="19">
        <f t="shared" si="2"/>
        <v>77</v>
      </c>
      <c r="R16" s="2">
        <f t="shared" si="0"/>
        <v>3850</v>
      </c>
      <c r="S16" s="47">
        <f t="shared" si="1"/>
        <v>3.85</v>
      </c>
      <c r="T16" s="20">
        <v>1.94</v>
      </c>
      <c r="U16" s="20">
        <v>2.38</v>
      </c>
      <c r="V16" s="50">
        <v>2.4</v>
      </c>
    </row>
    <row r="17" spans="1:22" ht="15.75" customHeight="1" x14ac:dyDescent="0.15">
      <c r="A17" s="15">
        <v>14</v>
      </c>
      <c r="B17" s="2">
        <v>4</v>
      </c>
      <c r="C17" s="2" t="s">
        <v>51</v>
      </c>
      <c r="D17" s="16">
        <v>45428</v>
      </c>
      <c r="E17" s="28" t="s">
        <v>27</v>
      </c>
      <c r="F17" s="28" t="s">
        <v>48</v>
      </c>
      <c r="G17" s="28" t="s">
        <v>29</v>
      </c>
      <c r="H17" s="18">
        <v>50</v>
      </c>
      <c r="I17" s="2">
        <v>30</v>
      </c>
      <c r="J17" s="2" t="s">
        <v>38</v>
      </c>
      <c r="K17" s="18" t="s">
        <v>35</v>
      </c>
      <c r="L17" s="18" t="s">
        <v>29</v>
      </c>
      <c r="M17" s="18" t="s">
        <v>29</v>
      </c>
      <c r="N17" s="18">
        <v>5236</v>
      </c>
      <c r="O17" s="19">
        <v>5.48</v>
      </c>
      <c r="P17" s="19">
        <v>5.69</v>
      </c>
      <c r="Q17" s="19">
        <f t="shared" si="2"/>
        <v>5.5850000000000009</v>
      </c>
      <c r="R17" s="2">
        <f t="shared" si="0"/>
        <v>279.25000000000006</v>
      </c>
      <c r="S17" s="47">
        <f t="shared" si="1"/>
        <v>0.27925000000000005</v>
      </c>
      <c r="T17" s="20">
        <v>1.98</v>
      </c>
      <c r="U17" s="20">
        <v>2.21</v>
      </c>
      <c r="V17" s="50">
        <v>5.8</v>
      </c>
    </row>
    <row r="18" spans="1:22" ht="15.75" customHeight="1" x14ac:dyDescent="0.15">
      <c r="A18" s="15">
        <v>15</v>
      </c>
      <c r="B18" s="2">
        <v>5</v>
      </c>
      <c r="C18" s="2" t="s">
        <v>52</v>
      </c>
      <c r="D18" s="16">
        <v>45428</v>
      </c>
      <c r="E18" s="28" t="s">
        <v>27</v>
      </c>
      <c r="F18" s="28" t="s">
        <v>48</v>
      </c>
      <c r="G18" s="28" t="s">
        <v>29</v>
      </c>
      <c r="H18" s="18">
        <v>50</v>
      </c>
      <c r="I18" s="2">
        <v>30</v>
      </c>
      <c r="J18" s="2" t="s">
        <v>38</v>
      </c>
      <c r="K18" s="18" t="s">
        <v>31</v>
      </c>
      <c r="L18" s="18" t="s">
        <v>40</v>
      </c>
      <c r="M18" s="18" t="s">
        <v>32</v>
      </c>
      <c r="N18" s="18">
        <v>5408</v>
      </c>
      <c r="O18" s="19">
        <f>10*6.71</f>
        <v>67.099999999999994</v>
      </c>
      <c r="P18" s="19">
        <f>10*6.81</f>
        <v>68.099999999999994</v>
      </c>
      <c r="Q18" s="19">
        <f t="shared" si="2"/>
        <v>67.599999999999994</v>
      </c>
      <c r="R18" s="2">
        <f t="shared" si="0"/>
        <v>3379.9999999999995</v>
      </c>
      <c r="S18" s="47">
        <f t="shared" si="1"/>
        <v>3.3799999999999994</v>
      </c>
      <c r="T18" s="20">
        <v>1.92</v>
      </c>
      <c r="U18" s="20">
        <v>2.33</v>
      </c>
      <c r="V18" s="50">
        <v>2.4</v>
      </c>
    </row>
    <row r="19" spans="1:22" ht="15.75" customHeight="1" x14ac:dyDescent="0.15">
      <c r="A19" s="15">
        <v>16</v>
      </c>
      <c r="B19" s="2">
        <v>6</v>
      </c>
      <c r="C19" s="2" t="s">
        <v>53</v>
      </c>
      <c r="D19" s="16">
        <v>45428</v>
      </c>
      <c r="E19" s="28" t="s">
        <v>27</v>
      </c>
      <c r="F19" s="28" t="s">
        <v>48</v>
      </c>
      <c r="G19" s="28" t="s">
        <v>29</v>
      </c>
      <c r="H19" s="18">
        <v>50</v>
      </c>
      <c r="I19" s="2">
        <v>30</v>
      </c>
      <c r="J19" s="2" t="s">
        <v>38</v>
      </c>
      <c r="K19" s="18" t="s">
        <v>35</v>
      </c>
      <c r="L19" s="18" t="s">
        <v>29</v>
      </c>
      <c r="M19" s="18" t="s">
        <v>29</v>
      </c>
      <c r="N19" s="18">
        <v>5492</v>
      </c>
      <c r="O19" s="19">
        <f>100*3.25</f>
        <v>325</v>
      </c>
      <c r="P19" s="19">
        <f>100*3.36</f>
        <v>336</v>
      </c>
      <c r="Q19" s="19">
        <f t="shared" si="2"/>
        <v>330.5</v>
      </c>
      <c r="R19" s="2">
        <f t="shared" si="0"/>
        <v>16525</v>
      </c>
      <c r="S19" s="47">
        <f t="shared" si="1"/>
        <v>16.524999999999999</v>
      </c>
      <c r="T19" s="20">
        <v>1.89</v>
      </c>
      <c r="U19" s="20">
        <v>2.15</v>
      </c>
      <c r="V19" s="50">
        <v>3.1</v>
      </c>
    </row>
    <row r="20" spans="1:22" ht="15.75" customHeight="1" x14ac:dyDescent="0.15">
      <c r="A20" s="15">
        <v>17</v>
      </c>
      <c r="B20" s="2">
        <v>7</v>
      </c>
      <c r="C20" s="2" t="s">
        <v>54</v>
      </c>
      <c r="D20" s="16">
        <v>45428</v>
      </c>
      <c r="E20" s="28" t="s">
        <v>27</v>
      </c>
      <c r="F20" s="28" t="s">
        <v>48</v>
      </c>
      <c r="G20" s="28" t="s">
        <v>29</v>
      </c>
      <c r="H20" s="18">
        <v>50</v>
      </c>
      <c r="I20" s="2">
        <v>30</v>
      </c>
      <c r="J20" s="2" t="s">
        <v>43</v>
      </c>
      <c r="K20" s="18" t="s">
        <v>31</v>
      </c>
      <c r="L20" s="18" t="s">
        <v>40</v>
      </c>
      <c r="M20" s="18" t="s">
        <v>32</v>
      </c>
      <c r="N20" s="18">
        <v>5597</v>
      </c>
      <c r="O20" s="19">
        <f>10*8.2</f>
        <v>82</v>
      </c>
      <c r="P20" s="19">
        <f>10*8.31</f>
        <v>83.100000000000009</v>
      </c>
      <c r="Q20" s="19">
        <f t="shared" si="2"/>
        <v>82.550000000000011</v>
      </c>
      <c r="R20" s="2">
        <f t="shared" si="0"/>
        <v>4127.5000000000009</v>
      </c>
      <c r="S20" s="47">
        <f t="shared" si="1"/>
        <v>4.1275000000000013</v>
      </c>
      <c r="T20" s="20">
        <v>1.93</v>
      </c>
      <c r="U20" s="20">
        <v>1.73</v>
      </c>
      <c r="V20" s="50">
        <v>2.7</v>
      </c>
    </row>
    <row r="21" spans="1:22" ht="15.75" customHeight="1" x14ac:dyDescent="0.15">
      <c r="A21" s="15">
        <v>18</v>
      </c>
      <c r="B21" s="2">
        <v>8</v>
      </c>
      <c r="C21" s="2" t="s">
        <v>55</v>
      </c>
      <c r="D21" s="16">
        <v>45428</v>
      </c>
      <c r="E21" s="28" t="s">
        <v>27</v>
      </c>
      <c r="F21" s="28" t="s">
        <v>48</v>
      </c>
      <c r="G21" s="28" t="s">
        <v>29</v>
      </c>
      <c r="H21" s="18">
        <v>50</v>
      </c>
      <c r="I21" s="2">
        <v>30</v>
      </c>
      <c r="J21" s="2" t="s">
        <v>34</v>
      </c>
      <c r="K21" s="18" t="s">
        <v>35</v>
      </c>
      <c r="L21" s="18" t="s">
        <v>29</v>
      </c>
      <c r="M21" s="18" t="s">
        <v>29</v>
      </c>
      <c r="N21" s="18">
        <v>5638</v>
      </c>
      <c r="O21" s="19">
        <v>3.18</v>
      </c>
      <c r="P21" s="19">
        <v>3.17</v>
      </c>
      <c r="Q21" s="19">
        <f t="shared" si="2"/>
        <v>3.1749999999999998</v>
      </c>
      <c r="R21" s="2">
        <f t="shared" si="0"/>
        <v>158.75</v>
      </c>
      <c r="S21" s="47">
        <f t="shared" si="1"/>
        <v>0.15875</v>
      </c>
      <c r="T21" s="20">
        <v>1.89</v>
      </c>
      <c r="U21" s="20">
        <v>0.66</v>
      </c>
      <c r="V21" s="50">
        <v>2.2999999999999998</v>
      </c>
    </row>
    <row r="22" spans="1:22" ht="15.75" customHeight="1" x14ac:dyDescent="0.15">
      <c r="A22" s="15">
        <v>19</v>
      </c>
      <c r="B22" s="2">
        <v>9</v>
      </c>
      <c r="C22" s="2" t="s">
        <v>56</v>
      </c>
      <c r="D22" s="16">
        <v>45428</v>
      </c>
      <c r="E22" s="28" t="s">
        <v>27</v>
      </c>
      <c r="F22" s="28" t="s">
        <v>48</v>
      </c>
      <c r="G22" s="28" t="s">
        <v>29</v>
      </c>
      <c r="H22" s="18">
        <v>50</v>
      </c>
      <c r="I22" s="2">
        <v>30</v>
      </c>
      <c r="J22" s="2" t="s">
        <v>34</v>
      </c>
      <c r="K22" s="18" t="s">
        <v>35</v>
      </c>
      <c r="L22" s="18" t="s">
        <v>29</v>
      </c>
      <c r="M22" s="18" t="s">
        <v>29</v>
      </c>
      <c r="N22" s="18">
        <v>5647</v>
      </c>
      <c r="O22" s="19">
        <v>2.4</v>
      </c>
      <c r="P22" s="19">
        <v>2.35</v>
      </c>
      <c r="Q22" s="19">
        <f t="shared" si="2"/>
        <v>2.375</v>
      </c>
      <c r="R22" s="2">
        <f t="shared" si="0"/>
        <v>118.75</v>
      </c>
      <c r="S22" s="47">
        <f t="shared" si="1"/>
        <v>0.11874999999999999</v>
      </c>
      <c r="T22" s="20">
        <v>1.61</v>
      </c>
      <c r="U22" s="20">
        <v>0.43</v>
      </c>
      <c r="V22" s="50">
        <v>4</v>
      </c>
    </row>
    <row r="23" spans="1:22" ht="15.75" customHeight="1" x14ac:dyDescent="0.15">
      <c r="A23" s="21">
        <v>20</v>
      </c>
      <c r="B23" s="22">
        <v>10</v>
      </c>
      <c r="C23" s="22" t="s">
        <v>57</v>
      </c>
      <c r="D23" s="23">
        <v>45428</v>
      </c>
      <c r="E23" s="29" t="s">
        <v>27</v>
      </c>
      <c r="F23" s="29" t="s">
        <v>48</v>
      </c>
      <c r="G23" s="29" t="s">
        <v>29</v>
      </c>
      <c r="H23" s="25">
        <v>25</v>
      </c>
      <c r="I23" s="22">
        <v>25</v>
      </c>
      <c r="J23" s="22" t="s">
        <v>43</v>
      </c>
      <c r="K23" s="25" t="s">
        <v>35</v>
      </c>
      <c r="L23" s="25" t="s">
        <v>29</v>
      </c>
      <c r="M23" s="25" t="s">
        <v>29</v>
      </c>
      <c r="N23" s="25">
        <v>5791</v>
      </c>
      <c r="O23" s="26">
        <f>10*1.4</f>
        <v>14</v>
      </c>
      <c r="P23" s="26">
        <f>10*1.31</f>
        <v>13.100000000000001</v>
      </c>
      <c r="Q23" s="26">
        <f t="shared" si="2"/>
        <v>13.55</v>
      </c>
      <c r="R23" s="22">
        <f t="shared" si="0"/>
        <v>338.75</v>
      </c>
      <c r="S23" s="48">
        <f t="shared" si="1"/>
        <v>0.33875</v>
      </c>
      <c r="T23" s="27">
        <v>1.52</v>
      </c>
      <c r="U23" s="27">
        <v>0.49</v>
      </c>
      <c r="V23" s="51">
        <v>1.1000000000000001</v>
      </c>
    </row>
    <row r="24" spans="1:22" ht="15.75" customHeight="1" x14ac:dyDescent="0.15">
      <c r="A24" s="15">
        <v>21</v>
      </c>
      <c r="B24" s="2">
        <v>11</v>
      </c>
      <c r="C24" s="2" t="s">
        <v>58</v>
      </c>
      <c r="D24" s="16">
        <v>45435</v>
      </c>
      <c r="E24" s="30" t="s">
        <v>59</v>
      </c>
      <c r="F24" s="30" t="s">
        <v>60</v>
      </c>
      <c r="G24" s="30" t="s">
        <v>29</v>
      </c>
      <c r="H24" s="18">
        <v>50</v>
      </c>
      <c r="I24" s="2">
        <v>30</v>
      </c>
      <c r="J24" s="31" t="s">
        <v>38</v>
      </c>
      <c r="K24" s="31" t="s">
        <v>31</v>
      </c>
      <c r="L24" s="18" t="s">
        <v>40</v>
      </c>
      <c r="M24" s="18" t="s">
        <v>61</v>
      </c>
      <c r="N24" s="18" t="s">
        <v>62</v>
      </c>
      <c r="O24" s="32">
        <v>45</v>
      </c>
      <c r="P24" s="32">
        <v>45</v>
      </c>
      <c r="Q24" s="33">
        <f t="shared" si="2"/>
        <v>45</v>
      </c>
      <c r="R24" s="2">
        <f t="shared" si="0"/>
        <v>2250</v>
      </c>
      <c r="S24" s="47">
        <f t="shared" si="1"/>
        <v>2.25</v>
      </c>
      <c r="T24" s="34">
        <v>1.79</v>
      </c>
      <c r="U24" s="34">
        <v>1.63</v>
      </c>
      <c r="V24" s="50" t="s">
        <v>63</v>
      </c>
    </row>
    <row r="25" spans="1:22" ht="15.75" customHeight="1" x14ac:dyDescent="0.15">
      <c r="A25" s="15">
        <v>22</v>
      </c>
      <c r="B25" s="2">
        <v>12</v>
      </c>
      <c r="C25" s="2" t="s">
        <v>64</v>
      </c>
      <c r="D25" s="16">
        <v>45435</v>
      </c>
      <c r="E25" s="30" t="s">
        <v>59</v>
      </c>
      <c r="F25" s="30" t="s">
        <v>60</v>
      </c>
      <c r="G25" s="30" t="s">
        <v>29</v>
      </c>
      <c r="H25" s="18">
        <v>50</v>
      </c>
      <c r="I25" s="2">
        <v>30</v>
      </c>
      <c r="J25" s="31" t="s">
        <v>38</v>
      </c>
      <c r="K25" s="31" t="s">
        <v>35</v>
      </c>
      <c r="L25" s="18" t="s">
        <v>29</v>
      </c>
      <c r="M25" s="18" t="s">
        <v>29</v>
      </c>
      <c r="N25" s="18" t="s">
        <v>65</v>
      </c>
      <c r="O25" s="32">
        <f>20*9.4</f>
        <v>188</v>
      </c>
      <c r="P25" s="32">
        <f>20*9.28</f>
        <v>185.6</v>
      </c>
      <c r="Q25" s="33">
        <f t="shared" si="2"/>
        <v>186.8</v>
      </c>
      <c r="R25" s="2">
        <f t="shared" si="0"/>
        <v>9340</v>
      </c>
      <c r="S25" s="47">
        <f t="shared" si="1"/>
        <v>9.34</v>
      </c>
      <c r="T25" s="34">
        <v>1.64</v>
      </c>
      <c r="U25" s="34">
        <v>1.72</v>
      </c>
      <c r="V25" s="50">
        <v>1.2</v>
      </c>
    </row>
    <row r="26" spans="1:22" ht="15.75" customHeight="1" x14ac:dyDescent="0.15">
      <c r="A26" s="15">
        <v>23</v>
      </c>
      <c r="B26" s="2">
        <v>13</v>
      </c>
      <c r="C26" s="2" t="s">
        <v>66</v>
      </c>
      <c r="D26" s="16">
        <v>45435</v>
      </c>
      <c r="E26" s="30" t="s">
        <v>59</v>
      </c>
      <c r="F26" s="30" t="s">
        <v>60</v>
      </c>
      <c r="G26" s="30" t="s">
        <v>29</v>
      </c>
      <c r="H26" s="18">
        <v>50</v>
      </c>
      <c r="I26" s="2">
        <v>30</v>
      </c>
      <c r="J26" s="31" t="s">
        <v>43</v>
      </c>
      <c r="K26" s="31" t="s">
        <v>35</v>
      </c>
      <c r="L26" s="18" t="s">
        <v>29</v>
      </c>
      <c r="M26" s="18" t="s">
        <v>29</v>
      </c>
      <c r="N26" s="18" t="s">
        <v>67</v>
      </c>
      <c r="O26" s="32">
        <f>20*6.18</f>
        <v>123.6</v>
      </c>
      <c r="P26" s="32">
        <f>20*5.94</f>
        <v>118.80000000000001</v>
      </c>
      <c r="Q26" s="33">
        <f t="shared" si="2"/>
        <v>121.2</v>
      </c>
      <c r="R26" s="2">
        <f t="shared" si="0"/>
        <v>6060</v>
      </c>
      <c r="S26" s="47">
        <f t="shared" si="1"/>
        <v>6.06</v>
      </c>
      <c r="T26" s="34">
        <v>1.59</v>
      </c>
      <c r="U26" s="34">
        <v>1.64</v>
      </c>
      <c r="V26" s="50">
        <v>1.7</v>
      </c>
    </row>
    <row r="27" spans="1:22" ht="15.75" customHeight="1" x14ac:dyDescent="0.15">
      <c r="A27" s="15">
        <v>24</v>
      </c>
      <c r="B27" s="2">
        <v>14</v>
      </c>
      <c r="C27" s="2" t="s">
        <v>68</v>
      </c>
      <c r="D27" s="16">
        <v>45435</v>
      </c>
      <c r="E27" s="30" t="s">
        <v>59</v>
      </c>
      <c r="F27" s="30" t="s">
        <v>60</v>
      </c>
      <c r="G27" s="30" t="s">
        <v>29</v>
      </c>
      <c r="H27" s="18">
        <v>50</v>
      </c>
      <c r="I27" s="2">
        <v>30</v>
      </c>
      <c r="J27" s="31" t="s">
        <v>34</v>
      </c>
      <c r="K27" s="31" t="s">
        <v>35</v>
      </c>
      <c r="L27" s="18" t="s">
        <v>29</v>
      </c>
      <c r="M27" s="18" t="s">
        <v>29</v>
      </c>
      <c r="N27" s="18" t="s">
        <v>69</v>
      </c>
      <c r="O27" s="32">
        <f>20*7.58</f>
        <v>151.6</v>
      </c>
      <c r="P27" s="32">
        <f>20*7.92</f>
        <v>158.4</v>
      </c>
      <c r="Q27" s="33">
        <f t="shared" si="2"/>
        <v>155</v>
      </c>
      <c r="R27" s="2">
        <f t="shared" si="0"/>
        <v>7750</v>
      </c>
      <c r="S27" s="47">
        <f t="shared" si="1"/>
        <v>7.75</v>
      </c>
      <c r="T27" s="34">
        <v>1.69</v>
      </c>
      <c r="U27" s="34">
        <v>1.69</v>
      </c>
      <c r="V27" s="50" t="s">
        <v>63</v>
      </c>
    </row>
    <row r="28" spans="1:22" ht="15.75" customHeight="1" x14ac:dyDescent="0.15">
      <c r="A28" s="15">
        <v>25</v>
      </c>
      <c r="B28" s="2">
        <v>15</v>
      </c>
      <c r="C28" s="2" t="s">
        <v>70</v>
      </c>
      <c r="D28" s="16">
        <v>45435</v>
      </c>
      <c r="E28" s="30" t="s">
        <v>59</v>
      </c>
      <c r="F28" s="30" t="s">
        <v>60</v>
      </c>
      <c r="G28" s="30" t="s">
        <v>29</v>
      </c>
      <c r="H28" s="18">
        <v>50</v>
      </c>
      <c r="I28" s="2">
        <v>30</v>
      </c>
      <c r="J28" s="31" t="s">
        <v>43</v>
      </c>
      <c r="K28" s="31" t="s">
        <v>35</v>
      </c>
      <c r="L28" s="18" t="s">
        <v>29</v>
      </c>
      <c r="M28" s="18" t="s">
        <v>29</v>
      </c>
      <c r="N28" s="18" t="s">
        <v>71</v>
      </c>
      <c r="O28" s="32">
        <f>20*29</f>
        <v>580</v>
      </c>
      <c r="P28" s="32">
        <f>20*30.6</f>
        <v>612</v>
      </c>
      <c r="Q28" s="33">
        <f t="shared" si="2"/>
        <v>596</v>
      </c>
      <c r="R28" s="2">
        <f t="shared" si="0"/>
        <v>29800</v>
      </c>
      <c r="S28" s="47">
        <f t="shared" si="1"/>
        <v>29.8</v>
      </c>
      <c r="T28" s="34">
        <v>1.83</v>
      </c>
      <c r="U28" s="34">
        <v>1.78</v>
      </c>
      <c r="V28" s="50" t="s">
        <v>63</v>
      </c>
    </row>
    <row r="29" spans="1:22" ht="15.75" customHeight="1" x14ac:dyDescent="0.15">
      <c r="A29" s="15">
        <v>26</v>
      </c>
      <c r="B29" s="2">
        <v>16</v>
      </c>
      <c r="C29" s="2" t="s">
        <v>72</v>
      </c>
      <c r="D29" s="16">
        <v>45435</v>
      </c>
      <c r="E29" s="30" t="s">
        <v>59</v>
      </c>
      <c r="F29" s="30" t="s">
        <v>60</v>
      </c>
      <c r="G29" s="30" t="s">
        <v>29</v>
      </c>
      <c r="H29" s="18">
        <v>50</v>
      </c>
      <c r="I29" s="2">
        <v>30</v>
      </c>
      <c r="J29" s="31" t="s">
        <v>43</v>
      </c>
      <c r="K29" s="31" t="s">
        <v>35</v>
      </c>
      <c r="L29" s="18" t="s">
        <v>29</v>
      </c>
      <c r="M29" s="18" t="s">
        <v>29</v>
      </c>
      <c r="N29" s="18">
        <v>5791</v>
      </c>
      <c r="O29" s="32">
        <f>20*13.8</f>
        <v>276</v>
      </c>
      <c r="P29" s="32">
        <f>20*14.5</f>
        <v>290</v>
      </c>
      <c r="Q29" s="33">
        <f t="shared" si="2"/>
        <v>283</v>
      </c>
      <c r="R29" s="2">
        <f t="shared" si="0"/>
        <v>14150</v>
      </c>
      <c r="S29" s="47">
        <f t="shared" si="1"/>
        <v>14.15</v>
      </c>
      <c r="T29" s="35">
        <v>1.74</v>
      </c>
      <c r="U29" s="35">
        <v>1.75</v>
      </c>
      <c r="V29" s="50">
        <v>2.1</v>
      </c>
    </row>
    <row r="30" spans="1:22" ht="15.75" customHeight="1" x14ac:dyDescent="0.15">
      <c r="A30" s="15">
        <v>27</v>
      </c>
      <c r="B30" s="2">
        <v>17</v>
      </c>
      <c r="C30" s="2" t="s">
        <v>73</v>
      </c>
      <c r="D30" s="16">
        <v>45435</v>
      </c>
      <c r="E30" s="30" t="s">
        <v>59</v>
      </c>
      <c r="F30" s="30" t="s">
        <v>60</v>
      </c>
      <c r="G30" s="30" t="s">
        <v>29</v>
      </c>
      <c r="H30" s="18">
        <v>50</v>
      </c>
      <c r="I30" s="2">
        <v>30</v>
      </c>
      <c r="J30" s="31" t="s">
        <v>38</v>
      </c>
      <c r="K30" s="31" t="s">
        <v>31</v>
      </c>
      <c r="L30" s="18" t="s">
        <v>74</v>
      </c>
      <c r="M30" s="18" t="s">
        <v>32</v>
      </c>
      <c r="N30" s="18">
        <v>5762</v>
      </c>
      <c r="O30" s="32">
        <v>79.599999999999994</v>
      </c>
      <c r="P30" s="32">
        <v>76.599999999999994</v>
      </c>
      <c r="Q30" s="33">
        <f t="shared" si="2"/>
        <v>78.099999999999994</v>
      </c>
      <c r="R30" s="2">
        <f t="shared" si="0"/>
        <v>3904.9999999999995</v>
      </c>
      <c r="S30" s="47">
        <f t="shared" si="1"/>
        <v>3.9049999999999994</v>
      </c>
      <c r="T30" s="35">
        <v>1.73</v>
      </c>
      <c r="U30" s="35">
        <v>1.63</v>
      </c>
      <c r="V30" s="50">
        <v>2.1</v>
      </c>
    </row>
    <row r="31" spans="1:22" ht="15.75" customHeight="1" x14ac:dyDescent="0.15">
      <c r="A31" s="15">
        <v>28</v>
      </c>
      <c r="B31" s="2">
        <v>18</v>
      </c>
      <c r="C31" s="2" t="s">
        <v>75</v>
      </c>
      <c r="D31" s="16">
        <v>45435</v>
      </c>
      <c r="E31" s="30" t="s">
        <v>59</v>
      </c>
      <c r="F31" s="30" t="s">
        <v>60</v>
      </c>
      <c r="G31" s="30" t="s">
        <v>29</v>
      </c>
      <c r="H31" s="36">
        <v>80</v>
      </c>
      <c r="I31" s="2">
        <v>30</v>
      </c>
      <c r="J31" s="31" t="s">
        <v>38</v>
      </c>
      <c r="K31" s="31" t="s">
        <v>35</v>
      </c>
      <c r="L31" s="18" t="s">
        <v>29</v>
      </c>
      <c r="M31" s="18" t="s">
        <v>29</v>
      </c>
      <c r="N31" s="18">
        <v>5492</v>
      </c>
      <c r="O31" s="37">
        <f>20*48.8</f>
        <v>976</v>
      </c>
      <c r="P31" s="37">
        <f>10*55.6</f>
        <v>556</v>
      </c>
      <c r="Q31" s="33">
        <f t="shared" si="2"/>
        <v>766</v>
      </c>
      <c r="R31" s="2">
        <f t="shared" si="0"/>
        <v>61280</v>
      </c>
      <c r="S31" s="47">
        <f t="shared" si="1"/>
        <v>61.28</v>
      </c>
      <c r="T31" s="35">
        <v>1.77</v>
      </c>
      <c r="U31" s="35">
        <v>1.88</v>
      </c>
      <c r="V31" s="50" t="s">
        <v>63</v>
      </c>
    </row>
    <row r="32" spans="1:22" ht="15.75" customHeight="1" x14ac:dyDescent="0.15">
      <c r="A32" s="15">
        <v>29</v>
      </c>
      <c r="B32" s="2">
        <v>19</v>
      </c>
      <c r="C32" s="2" t="s">
        <v>76</v>
      </c>
      <c r="D32" s="16">
        <v>45435</v>
      </c>
      <c r="E32" s="30" t="s">
        <v>59</v>
      </c>
      <c r="F32" s="30" t="s">
        <v>60</v>
      </c>
      <c r="G32" s="30" t="s">
        <v>29</v>
      </c>
      <c r="H32" s="36">
        <v>80</v>
      </c>
      <c r="I32" s="2">
        <v>30</v>
      </c>
      <c r="J32" s="31" t="s">
        <v>34</v>
      </c>
      <c r="K32" s="31" t="s">
        <v>35</v>
      </c>
      <c r="L32" s="18" t="s">
        <v>29</v>
      </c>
      <c r="M32" s="18" t="s">
        <v>29</v>
      </c>
      <c r="N32" s="18">
        <v>5073</v>
      </c>
      <c r="O32" s="32">
        <f>100*51.6</f>
        <v>5160</v>
      </c>
      <c r="P32" s="32">
        <f>100*50.4</f>
        <v>5040</v>
      </c>
      <c r="Q32" s="33">
        <f t="shared" si="2"/>
        <v>5100</v>
      </c>
      <c r="R32" s="36">
        <f t="shared" si="0"/>
        <v>408000</v>
      </c>
      <c r="S32" s="47">
        <f t="shared" si="1"/>
        <v>408</v>
      </c>
      <c r="T32" s="35">
        <v>1.82</v>
      </c>
      <c r="U32" s="35">
        <v>2.11</v>
      </c>
      <c r="V32" s="50" t="s">
        <v>63</v>
      </c>
    </row>
    <row r="33" spans="1:22" ht="15.75" customHeight="1" x14ac:dyDescent="0.15">
      <c r="A33" s="21">
        <v>30</v>
      </c>
      <c r="B33" s="22">
        <v>20</v>
      </c>
      <c r="C33" s="22" t="s">
        <v>77</v>
      </c>
      <c r="D33" s="23">
        <v>45435</v>
      </c>
      <c r="E33" s="38" t="s">
        <v>59</v>
      </c>
      <c r="F33" s="38" t="s">
        <v>60</v>
      </c>
      <c r="G33" s="38" t="s">
        <v>29</v>
      </c>
      <c r="H33" s="25">
        <v>50</v>
      </c>
      <c r="I33" s="22">
        <v>30</v>
      </c>
      <c r="J33" s="39" t="s">
        <v>78</v>
      </c>
      <c r="K33" s="39" t="s">
        <v>31</v>
      </c>
      <c r="L33" s="25" t="s">
        <v>32</v>
      </c>
      <c r="M33" s="25" t="s">
        <v>29</v>
      </c>
      <c r="N33" s="25">
        <v>4018</v>
      </c>
      <c r="O33" s="40">
        <f>20*1.61</f>
        <v>32.200000000000003</v>
      </c>
      <c r="P33" s="40">
        <f>20*1.51</f>
        <v>30.2</v>
      </c>
      <c r="Q33" s="41">
        <f t="shared" si="2"/>
        <v>31.200000000000003</v>
      </c>
      <c r="R33" s="22">
        <f t="shared" si="0"/>
        <v>1560.0000000000002</v>
      </c>
      <c r="S33" s="48">
        <f t="shared" si="1"/>
        <v>1.5600000000000003</v>
      </c>
      <c r="T33" s="42">
        <v>1.53</v>
      </c>
      <c r="U33" s="42">
        <v>1.35</v>
      </c>
      <c r="V33" s="51" t="s">
        <v>63</v>
      </c>
    </row>
    <row r="34" spans="1:22" ht="15.75" customHeight="1" x14ac:dyDescent="0.15">
      <c r="A34" s="15">
        <v>31</v>
      </c>
      <c r="B34" s="2">
        <v>11</v>
      </c>
      <c r="C34" s="2" t="s">
        <v>79</v>
      </c>
      <c r="D34" s="16">
        <v>45435</v>
      </c>
      <c r="E34" s="43" t="s">
        <v>59</v>
      </c>
      <c r="F34" s="43" t="s">
        <v>80</v>
      </c>
      <c r="G34" s="43" t="s">
        <v>29</v>
      </c>
      <c r="H34" s="18">
        <v>50</v>
      </c>
      <c r="I34" s="2">
        <v>30</v>
      </c>
      <c r="J34" s="31" t="s">
        <v>38</v>
      </c>
      <c r="K34" s="31" t="s">
        <v>31</v>
      </c>
      <c r="L34" s="18" t="s">
        <v>40</v>
      </c>
      <c r="M34" s="18" t="s">
        <v>61</v>
      </c>
      <c r="N34" s="18">
        <v>5918</v>
      </c>
      <c r="O34" s="32">
        <f>20*1.69</f>
        <v>33.799999999999997</v>
      </c>
      <c r="P34" s="32">
        <f>20*1.66</f>
        <v>33.199999999999996</v>
      </c>
      <c r="Q34" s="33">
        <f t="shared" si="2"/>
        <v>33.5</v>
      </c>
      <c r="R34" s="2">
        <f t="shared" si="0"/>
        <v>1675</v>
      </c>
      <c r="S34" s="47">
        <f t="shared" si="1"/>
        <v>1.675</v>
      </c>
      <c r="T34" s="35">
        <v>1.55</v>
      </c>
      <c r="U34" s="35">
        <v>1.63</v>
      </c>
      <c r="V34" s="50" t="s">
        <v>63</v>
      </c>
    </row>
    <row r="35" spans="1:22" ht="15.75" customHeight="1" x14ac:dyDescent="0.15">
      <c r="A35" s="15">
        <v>32</v>
      </c>
      <c r="B35" s="2">
        <v>12</v>
      </c>
      <c r="C35" s="2" t="s">
        <v>81</v>
      </c>
      <c r="D35" s="16">
        <v>45435</v>
      </c>
      <c r="E35" s="43" t="s">
        <v>59</v>
      </c>
      <c r="F35" s="43" t="s">
        <v>80</v>
      </c>
      <c r="G35" s="43" t="s">
        <v>29</v>
      </c>
      <c r="H35" s="18">
        <v>50</v>
      </c>
      <c r="I35" s="2">
        <v>30</v>
      </c>
      <c r="J35" s="31" t="s">
        <v>38</v>
      </c>
      <c r="K35" s="31" t="s">
        <v>35</v>
      </c>
      <c r="L35" s="18" t="s">
        <v>29</v>
      </c>
      <c r="M35" s="18" t="s">
        <v>29</v>
      </c>
      <c r="N35" s="18">
        <v>5868</v>
      </c>
      <c r="O35" s="32">
        <f>20*7.34</f>
        <v>146.80000000000001</v>
      </c>
      <c r="P35" s="32">
        <f>20*8.1</f>
        <v>162</v>
      </c>
      <c r="Q35" s="33">
        <f t="shared" si="2"/>
        <v>154.4</v>
      </c>
      <c r="R35" s="2">
        <f t="shared" si="0"/>
        <v>7720</v>
      </c>
      <c r="S35" s="47">
        <f t="shared" si="1"/>
        <v>7.72</v>
      </c>
      <c r="T35" s="35">
        <v>1.85</v>
      </c>
      <c r="U35" s="35">
        <v>2.66</v>
      </c>
      <c r="V35" s="50">
        <v>1.3</v>
      </c>
    </row>
    <row r="36" spans="1:22" ht="15.75" customHeight="1" x14ac:dyDescent="0.15">
      <c r="A36" s="15">
        <v>33</v>
      </c>
      <c r="B36" s="2">
        <v>13</v>
      </c>
      <c r="C36" s="2" t="s">
        <v>82</v>
      </c>
      <c r="D36" s="16">
        <v>45435</v>
      </c>
      <c r="E36" s="43" t="s">
        <v>59</v>
      </c>
      <c r="F36" s="43" t="s">
        <v>80</v>
      </c>
      <c r="G36" s="43" t="s">
        <v>29</v>
      </c>
      <c r="H36" s="18">
        <v>50</v>
      </c>
      <c r="I36" s="2">
        <v>30</v>
      </c>
      <c r="J36" s="31" t="s">
        <v>43</v>
      </c>
      <c r="K36" s="31" t="s">
        <v>35</v>
      </c>
      <c r="L36" s="18" t="s">
        <v>29</v>
      </c>
      <c r="M36" s="18" t="s">
        <v>29</v>
      </c>
      <c r="N36" s="18">
        <v>5864</v>
      </c>
      <c r="O36" s="32">
        <v>91.8</v>
      </c>
      <c r="P36" s="32">
        <v>89.2</v>
      </c>
      <c r="Q36" s="33">
        <f t="shared" si="2"/>
        <v>90.5</v>
      </c>
      <c r="R36" s="2">
        <f t="shared" si="0"/>
        <v>4525</v>
      </c>
      <c r="S36" s="47">
        <f t="shared" si="1"/>
        <v>4.5250000000000004</v>
      </c>
      <c r="T36" s="35">
        <v>1.72</v>
      </c>
      <c r="U36" s="35">
        <v>1.97</v>
      </c>
      <c r="V36" s="50">
        <v>1.9</v>
      </c>
    </row>
    <row r="37" spans="1:22" ht="15.75" customHeight="1" x14ac:dyDescent="0.15">
      <c r="A37" s="15">
        <v>34</v>
      </c>
      <c r="B37" s="2">
        <v>14</v>
      </c>
      <c r="C37" s="2" t="s">
        <v>83</v>
      </c>
      <c r="D37" s="16">
        <v>45435</v>
      </c>
      <c r="E37" s="43" t="s">
        <v>59</v>
      </c>
      <c r="F37" s="43" t="s">
        <v>80</v>
      </c>
      <c r="G37" s="43" t="s">
        <v>29</v>
      </c>
      <c r="H37" s="18">
        <v>50</v>
      </c>
      <c r="I37" s="2">
        <v>30</v>
      </c>
      <c r="J37" s="31" t="s">
        <v>34</v>
      </c>
      <c r="K37" s="31" t="s">
        <v>35</v>
      </c>
      <c r="L37" s="18" t="s">
        <v>29</v>
      </c>
      <c r="M37" s="18" t="s">
        <v>29</v>
      </c>
      <c r="N37" s="18">
        <v>5834</v>
      </c>
      <c r="O37" s="32">
        <v>36</v>
      </c>
      <c r="P37" s="32">
        <v>37.200000000000003</v>
      </c>
      <c r="Q37" s="33">
        <f t="shared" si="2"/>
        <v>36.6</v>
      </c>
      <c r="R37" s="2">
        <f t="shared" si="0"/>
        <v>1830</v>
      </c>
      <c r="S37" s="47">
        <f t="shared" si="1"/>
        <v>1.83</v>
      </c>
      <c r="T37" s="35">
        <v>1.62</v>
      </c>
      <c r="U37" s="35">
        <v>1.73</v>
      </c>
      <c r="V37" s="50" t="s">
        <v>63</v>
      </c>
    </row>
    <row r="38" spans="1:22" ht="15.75" customHeight="1" x14ac:dyDescent="0.15">
      <c r="A38" s="15">
        <v>35</v>
      </c>
      <c r="B38" s="2">
        <v>15</v>
      </c>
      <c r="C38" s="2" t="s">
        <v>84</v>
      </c>
      <c r="D38" s="16">
        <v>45435</v>
      </c>
      <c r="E38" s="43" t="s">
        <v>59</v>
      </c>
      <c r="F38" s="43" t="s">
        <v>80</v>
      </c>
      <c r="G38" s="43" t="s">
        <v>29</v>
      </c>
      <c r="H38" s="18">
        <v>50</v>
      </c>
      <c r="I38" s="2">
        <v>30</v>
      </c>
      <c r="J38" s="31" t="s">
        <v>43</v>
      </c>
      <c r="K38" s="31" t="s">
        <v>35</v>
      </c>
      <c r="L38" s="18" t="s">
        <v>29</v>
      </c>
      <c r="M38" s="18" t="s">
        <v>29</v>
      </c>
      <c r="N38" s="18">
        <v>5822</v>
      </c>
      <c r="O38" s="32">
        <f>20*13.8</f>
        <v>276</v>
      </c>
      <c r="P38" s="32">
        <f>20*15.2</f>
        <v>304</v>
      </c>
      <c r="Q38" s="33">
        <f t="shared" si="2"/>
        <v>290</v>
      </c>
      <c r="R38" s="2">
        <f t="shared" si="0"/>
        <v>14500</v>
      </c>
      <c r="S38" s="47">
        <f t="shared" si="1"/>
        <v>14.5</v>
      </c>
      <c r="T38" s="35">
        <v>1.74</v>
      </c>
      <c r="U38" s="35">
        <v>2.0299999999999998</v>
      </c>
      <c r="V38" s="50" t="s">
        <v>63</v>
      </c>
    </row>
    <row r="39" spans="1:22" ht="15.75" customHeight="1" x14ac:dyDescent="0.15">
      <c r="A39" s="15">
        <v>36</v>
      </c>
      <c r="B39" s="2">
        <v>16</v>
      </c>
      <c r="C39" s="2" t="s">
        <v>85</v>
      </c>
      <c r="D39" s="16">
        <v>45435</v>
      </c>
      <c r="E39" s="43" t="s">
        <v>59</v>
      </c>
      <c r="F39" s="43" t="s">
        <v>80</v>
      </c>
      <c r="G39" s="43" t="s">
        <v>29</v>
      </c>
      <c r="H39" s="18">
        <v>50</v>
      </c>
      <c r="I39" s="2">
        <v>30</v>
      </c>
      <c r="J39" s="31" t="s">
        <v>43</v>
      </c>
      <c r="K39" s="31" t="s">
        <v>35</v>
      </c>
      <c r="L39" s="18" t="s">
        <v>29</v>
      </c>
      <c r="M39" s="18" t="s">
        <v>29</v>
      </c>
      <c r="N39" s="18">
        <v>5791</v>
      </c>
      <c r="O39" s="32">
        <f>20*9.06</f>
        <v>181.20000000000002</v>
      </c>
      <c r="P39" s="32">
        <f>20*9.88</f>
        <v>197.60000000000002</v>
      </c>
      <c r="Q39" s="33">
        <f t="shared" si="2"/>
        <v>189.40000000000003</v>
      </c>
      <c r="R39" s="2">
        <f t="shared" si="0"/>
        <v>9470.0000000000018</v>
      </c>
      <c r="S39" s="47">
        <f t="shared" si="1"/>
        <v>9.4700000000000024</v>
      </c>
      <c r="T39" s="35">
        <v>1.79</v>
      </c>
      <c r="U39" s="35">
        <v>2.0699999999999998</v>
      </c>
      <c r="V39" s="50">
        <v>2</v>
      </c>
    </row>
    <row r="40" spans="1:22" ht="15.75" customHeight="1" x14ac:dyDescent="0.15">
      <c r="A40" s="15">
        <v>37</v>
      </c>
      <c r="B40" s="2">
        <v>17</v>
      </c>
      <c r="C40" s="2" t="s">
        <v>86</v>
      </c>
      <c r="D40" s="16">
        <v>45435</v>
      </c>
      <c r="E40" s="43" t="s">
        <v>59</v>
      </c>
      <c r="F40" s="43" t="s">
        <v>80</v>
      </c>
      <c r="G40" s="43" t="s">
        <v>29</v>
      </c>
      <c r="H40" s="18">
        <v>50</v>
      </c>
      <c r="I40" s="2">
        <v>30</v>
      </c>
      <c r="J40" s="31" t="s">
        <v>38</v>
      </c>
      <c r="K40" s="31" t="s">
        <v>31</v>
      </c>
      <c r="L40" s="18" t="s">
        <v>74</v>
      </c>
      <c r="M40" s="18" t="s">
        <v>32</v>
      </c>
      <c r="N40" s="18">
        <v>5762</v>
      </c>
      <c r="O40" s="32">
        <f>20*1.19</f>
        <v>23.799999999999997</v>
      </c>
      <c r="P40" s="32">
        <f>20*1.15</f>
        <v>23</v>
      </c>
      <c r="Q40" s="33">
        <f t="shared" si="2"/>
        <v>23.4</v>
      </c>
      <c r="R40" s="2">
        <f t="shared" si="0"/>
        <v>1170</v>
      </c>
      <c r="S40" s="47">
        <f t="shared" si="1"/>
        <v>1.17</v>
      </c>
      <c r="T40" s="35">
        <v>1.55</v>
      </c>
      <c r="U40" s="35">
        <v>1.67</v>
      </c>
      <c r="V40" s="50">
        <v>2.2999999999999998</v>
      </c>
    </row>
    <row r="41" spans="1:22" ht="15.75" customHeight="1" x14ac:dyDescent="0.15">
      <c r="A41" s="15">
        <v>38</v>
      </c>
      <c r="B41" s="2">
        <v>18</v>
      </c>
      <c r="C41" s="2" t="s">
        <v>87</v>
      </c>
      <c r="D41" s="16">
        <v>45435</v>
      </c>
      <c r="E41" s="43" t="s">
        <v>59</v>
      </c>
      <c r="F41" s="43" t="s">
        <v>80</v>
      </c>
      <c r="G41" s="43" t="s">
        <v>29</v>
      </c>
      <c r="H41" s="36">
        <v>80</v>
      </c>
      <c r="I41" s="2">
        <v>30</v>
      </c>
      <c r="J41" s="31" t="s">
        <v>38</v>
      </c>
      <c r="K41" s="31" t="s">
        <v>35</v>
      </c>
      <c r="L41" s="18" t="s">
        <v>29</v>
      </c>
      <c r="M41" s="18" t="s">
        <v>29</v>
      </c>
      <c r="N41" s="18">
        <v>5492</v>
      </c>
      <c r="O41" s="32">
        <f>30*116</f>
        <v>3480</v>
      </c>
      <c r="P41" s="32">
        <f>30*120</f>
        <v>3600</v>
      </c>
      <c r="Q41" s="33">
        <f t="shared" si="2"/>
        <v>3540</v>
      </c>
      <c r="R41" s="2">
        <f t="shared" si="0"/>
        <v>283200</v>
      </c>
      <c r="S41" s="47">
        <f t="shared" si="1"/>
        <v>283.2</v>
      </c>
      <c r="T41" s="35">
        <v>1.87</v>
      </c>
      <c r="U41" s="35">
        <v>2.2999999999999998</v>
      </c>
      <c r="V41" s="50" t="s">
        <v>63</v>
      </c>
    </row>
    <row r="42" spans="1:22" ht="15.75" customHeight="1" x14ac:dyDescent="0.15">
      <c r="A42" s="15">
        <v>39</v>
      </c>
      <c r="B42" s="2">
        <v>19</v>
      </c>
      <c r="C42" s="2" t="s">
        <v>88</v>
      </c>
      <c r="D42" s="16">
        <v>45435</v>
      </c>
      <c r="E42" s="43" t="s">
        <v>59</v>
      </c>
      <c r="F42" s="43" t="s">
        <v>80</v>
      </c>
      <c r="G42" s="43" t="s">
        <v>29</v>
      </c>
      <c r="H42" s="18">
        <v>50</v>
      </c>
      <c r="I42" s="2">
        <v>30</v>
      </c>
      <c r="J42" s="31" t="s">
        <v>34</v>
      </c>
      <c r="K42" s="31" t="s">
        <v>35</v>
      </c>
      <c r="L42" s="18" t="s">
        <v>29</v>
      </c>
      <c r="M42" s="18" t="s">
        <v>29</v>
      </c>
      <c r="N42" s="18">
        <v>5073</v>
      </c>
      <c r="O42" s="32">
        <f>20*70.4</f>
        <v>1408</v>
      </c>
      <c r="P42" s="32">
        <f>20*67.2</f>
        <v>1344</v>
      </c>
      <c r="Q42" s="33">
        <f t="shared" si="2"/>
        <v>1376</v>
      </c>
      <c r="R42" s="2">
        <f t="shared" si="0"/>
        <v>68800</v>
      </c>
      <c r="S42" s="47">
        <f t="shared" si="1"/>
        <v>68.8</v>
      </c>
      <c r="T42" s="35">
        <v>1.8</v>
      </c>
      <c r="U42" s="35">
        <v>1.94</v>
      </c>
      <c r="V42" s="50" t="s">
        <v>63</v>
      </c>
    </row>
    <row r="43" spans="1:22" ht="15.75" customHeight="1" x14ac:dyDescent="0.15">
      <c r="A43" s="21">
        <v>40</v>
      </c>
      <c r="B43" s="22">
        <v>20</v>
      </c>
      <c r="C43" s="22" t="s">
        <v>89</v>
      </c>
      <c r="D43" s="23">
        <v>45435</v>
      </c>
      <c r="E43" s="44" t="s">
        <v>59</v>
      </c>
      <c r="F43" s="44" t="s">
        <v>80</v>
      </c>
      <c r="G43" s="44" t="s">
        <v>29</v>
      </c>
      <c r="H43" s="25">
        <v>50</v>
      </c>
      <c r="I43" s="22">
        <v>30</v>
      </c>
      <c r="J43" s="39" t="s">
        <v>78</v>
      </c>
      <c r="K43" s="39" t="s">
        <v>31</v>
      </c>
      <c r="L43" s="25" t="s">
        <v>32</v>
      </c>
      <c r="M43" s="25" t="s">
        <v>29</v>
      </c>
      <c r="N43" s="25">
        <v>4018</v>
      </c>
      <c r="O43" s="40">
        <f>20*0.978</f>
        <v>19.559999999999999</v>
      </c>
      <c r="P43" s="40">
        <f>20*0.964</f>
        <v>19.28</v>
      </c>
      <c r="Q43" s="41">
        <f t="shared" si="2"/>
        <v>19.420000000000002</v>
      </c>
      <c r="R43" s="22">
        <f t="shared" si="0"/>
        <v>971.00000000000011</v>
      </c>
      <c r="S43" s="48">
        <f t="shared" si="1"/>
        <v>0.97100000000000009</v>
      </c>
      <c r="T43" s="45">
        <v>1.52</v>
      </c>
      <c r="U43" s="45">
        <v>1.54</v>
      </c>
      <c r="V43" s="51" t="s">
        <v>63</v>
      </c>
    </row>
    <row r="44" spans="1:22" ht="15.75" customHeight="1" x14ac:dyDescent="0.15">
      <c r="D44" s="34"/>
      <c r="E44" s="34"/>
      <c r="F44" s="34"/>
    </row>
    <row r="45" spans="1:22" ht="15.75" customHeight="1" x14ac:dyDescent="0.15"/>
    <row r="46" spans="1:22" ht="15.75" customHeight="1" x14ac:dyDescent="0.15"/>
    <row r="47" spans="1:22" ht="15.75" customHeight="1" x14ac:dyDescent="0.15"/>
    <row r="48" spans="1:22" ht="15.75" customHeight="1" x14ac:dyDescent="0.15"/>
    <row r="49" ht="15.75" customHeight="1" x14ac:dyDescent="0.15"/>
    <row r="50" ht="15.75" customHeight="1" x14ac:dyDescent="0.15"/>
    <row r="51" ht="15.75" customHeight="1" x14ac:dyDescent="0.15"/>
    <row r="52" ht="15.75" customHeight="1" x14ac:dyDescent="0.15"/>
    <row r="53" ht="15.75" customHeight="1" x14ac:dyDescent="0.15"/>
    <row r="54" ht="15.75" customHeight="1" x14ac:dyDescent="0.15"/>
    <row r="55" ht="15.75" customHeight="1" x14ac:dyDescent="0.15"/>
    <row r="56" ht="15.75" customHeight="1" x14ac:dyDescent="0.15"/>
    <row r="57" ht="15.75" customHeight="1" x14ac:dyDescent="0.15"/>
    <row r="58" ht="15.75" customHeight="1" x14ac:dyDescent="0.15"/>
    <row r="59" ht="15.75" customHeight="1" x14ac:dyDescent="0.15"/>
    <row r="60" ht="15.75" customHeight="1" x14ac:dyDescent="0.15"/>
    <row r="61" ht="15.75" customHeight="1" x14ac:dyDescent="0.15"/>
    <row r="62" ht="15.75" customHeight="1" x14ac:dyDescent="0.15"/>
    <row r="63" ht="15.75" customHeight="1" x14ac:dyDescent="0.15"/>
    <row r="64" ht="15.75" customHeight="1" x14ac:dyDescent="0.15"/>
    <row r="65" ht="15.75" customHeight="1" x14ac:dyDescent="0.15"/>
    <row r="66" ht="15.75" customHeight="1" x14ac:dyDescent="0.15"/>
    <row r="67" ht="15.75" customHeight="1" x14ac:dyDescent="0.15"/>
    <row r="68" ht="15.75" customHeight="1" x14ac:dyDescent="0.15"/>
    <row r="69" ht="15.75" customHeight="1" x14ac:dyDescent="0.15"/>
    <row r="70" ht="15.75" customHeight="1" x14ac:dyDescent="0.15"/>
    <row r="71" ht="15.75" customHeight="1" x14ac:dyDescent="0.15"/>
    <row r="72" ht="15.75" customHeight="1" x14ac:dyDescent="0.15"/>
    <row r="73" ht="15.75" customHeight="1" x14ac:dyDescent="0.15"/>
    <row r="74" ht="15.75" customHeight="1" x14ac:dyDescent="0.15"/>
    <row r="75" ht="15.75" customHeight="1" x14ac:dyDescent="0.15"/>
    <row r="76" ht="15.75" customHeight="1" x14ac:dyDescent="0.15"/>
    <row r="77" ht="15.75" customHeight="1" x14ac:dyDescent="0.15"/>
    <row r="78" ht="15.75" customHeight="1" x14ac:dyDescent="0.15"/>
    <row r="79" ht="15.75" customHeight="1" x14ac:dyDescent="0.15"/>
    <row r="80" ht="15.75" customHeight="1" x14ac:dyDescent="0.15"/>
    <row r="81" ht="15.75" customHeight="1" x14ac:dyDescent="0.15"/>
    <row r="82" ht="15.75" customHeight="1" x14ac:dyDescent="0.15"/>
    <row r="83" ht="15.75" customHeight="1" x14ac:dyDescent="0.15"/>
    <row r="84" ht="15.75" customHeight="1" x14ac:dyDescent="0.15"/>
    <row r="85" ht="15.75" customHeight="1" x14ac:dyDescent="0.15"/>
    <row r="86" ht="15.75" customHeight="1" x14ac:dyDescent="0.15"/>
    <row r="87" ht="15.75" customHeight="1" x14ac:dyDescent="0.15"/>
    <row r="88" ht="15.75" customHeight="1" x14ac:dyDescent="0.15"/>
    <row r="89" ht="15.75" customHeight="1" x14ac:dyDescent="0.15"/>
    <row r="90" ht="15.75" customHeight="1" x14ac:dyDescent="0.15"/>
    <row r="91" ht="15.75" customHeight="1" x14ac:dyDescent="0.15"/>
    <row r="92" ht="15.75" customHeight="1" x14ac:dyDescent="0.15"/>
    <row r="93" ht="15.75" customHeight="1" x14ac:dyDescent="0.15"/>
    <row r="94" ht="15.75" customHeight="1" x14ac:dyDescent="0.15"/>
    <row r="95" ht="15.75" customHeight="1" x14ac:dyDescent="0.15"/>
    <row r="96" ht="15.75" customHeight="1" x14ac:dyDescent="0.15"/>
    <row r="97" ht="15.75" customHeight="1" x14ac:dyDescent="0.15"/>
    <row r="98" ht="15.75" customHeight="1" x14ac:dyDescent="0.15"/>
    <row r="99" ht="15.75" customHeight="1" x14ac:dyDescent="0.15"/>
    <row r="100" ht="15.75" customHeight="1" x14ac:dyDescent="0.15"/>
    <row r="101" ht="15.75" customHeight="1" x14ac:dyDescent="0.15"/>
    <row r="102" ht="15.75" customHeight="1" x14ac:dyDescent="0.15"/>
    <row r="103" ht="15.75" customHeight="1" x14ac:dyDescent="0.15"/>
    <row r="104" ht="15.75" customHeight="1" x14ac:dyDescent="0.15"/>
    <row r="105" ht="15.75" customHeight="1" x14ac:dyDescent="0.15"/>
    <row r="106" ht="15.75" customHeight="1" x14ac:dyDescent="0.15"/>
    <row r="107" ht="15.75" customHeight="1" x14ac:dyDescent="0.15"/>
    <row r="108" ht="15.75" customHeight="1" x14ac:dyDescent="0.15"/>
    <row r="109" ht="15.75" customHeight="1" x14ac:dyDescent="0.15"/>
    <row r="110" ht="15.75" customHeight="1" x14ac:dyDescent="0.15"/>
    <row r="111" ht="15.75" customHeight="1" x14ac:dyDescent="0.15"/>
    <row r="112" ht="15.75" customHeight="1" x14ac:dyDescent="0.15"/>
    <row r="113" ht="15.75" customHeight="1" x14ac:dyDescent="0.15"/>
    <row r="114" ht="15.75" customHeight="1" x14ac:dyDescent="0.15"/>
    <row r="115" ht="15.75" customHeight="1" x14ac:dyDescent="0.15"/>
    <row r="116" ht="15.75" customHeight="1" x14ac:dyDescent="0.15"/>
    <row r="117" ht="15.75" customHeight="1" x14ac:dyDescent="0.15"/>
    <row r="118" ht="15.75" customHeight="1" x14ac:dyDescent="0.15"/>
    <row r="119" ht="15.75" customHeight="1" x14ac:dyDescent="0.15"/>
    <row r="120" ht="15.75" customHeight="1" x14ac:dyDescent="0.15"/>
    <row r="121" ht="15.75" customHeight="1" x14ac:dyDescent="0.15"/>
    <row r="122" ht="15.75" customHeight="1" x14ac:dyDescent="0.15"/>
    <row r="123" ht="15.75" customHeight="1" x14ac:dyDescent="0.15"/>
    <row r="124" ht="15.75" customHeight="1" x14ac:dyDescent="0.15"/>
    <row r="125" ht="15.75" customHeight="1" x14ac:dyDescent="0.15"/>
    <row r="126" ht="15.75" customHeight="1" x14ac:dyDescent="0.15"/>
    <row r="127" ht="15.75" customHeight="1" x14ac:dyDescent="0.15"/>
    <row r="128" ht="15.75" customHeight="1" x14ac:dyDescent="0.15"/>
    <row r="129" ht="15.75" customHeight="1" x14ac:dyDescent="0.15"/>
    <row r="130" ht="15.75" customHeight="1" x14ac:dyDescent="0.15"/>
    <row r="131" ht="15.75" customHeight="1" x14ac:dyDescent="0.15"/>
    <row r="132" ht="15.75" customHeight="1" x14ac:dyDescent="0.15"/>
    <row r="133" ht="15.75" customHeight="1" x14ac:dyDescent="0.15"/>
    <row r="134" ht="15.75" customHeight="1" x14ac:dyDescent="0.15"/>
    <row r="135" ht="15.75" customHeight="1" x14ac:dyDescent="0.15"/>
    <row r="136" ht="15.75" customHeight="1" x14ac:dyDescent="0.15"/>
    <row r="137" ht="15.75" customHeight="1" x14ac:dyDescent="0.15"/>
    <row r="138" ht="15.75" customHeight="1" x14ac:dyDescent="0.15"/>
    <row r="139" ht="15.75" customHeight="1" x14ac:dyDescent="0.15"/>
    <row r="140" ht="15.75" customHeight="1" x14ac:dyDescent="0.15"/>
    <row r="141" ht="15.75" customHeight="1" x14ac:dyDescent="0.15"/>
    <row r="142" ht="15.75" customHeight="1" x14ac:dyDescent="0.15"/>
    <row r="143" ht="15.75" customHeight="1" x14ac:dyDescent="0.15"/>
    <row r="144" ht="15.75" customHeight="1" x14ac:dyDescent="0.15"/>
    <row r="145" ht="15.75" customHeight="1" x14ac:dyDescent="0.15"/>
    <row r="146" ht="15.75" customHeight="1" x14ac:dyDescent="0.15"/>
    <row r="147" ht="15.75" customHeight="1" x14ac:dyDescent="0.15"/>
    <row r="148" ht="15.75" customHeight="1" x14ac:dyDescent="0.15"/>
    <row r="149" ht="15.75" customHeight="1" x14ac:dyDescent="0.15"/>
    <row r="150" ht="15.75" customHeight="1" x14ac:dyDescent="0.15"/>
    <row r="151" ht="15.75" customHeight="1" x14ac:dyDescent="0.15"/>
    <row r="152" ht="15.75" customHeight="1" x14ac:dyDescent="0.15"/>
    <row r="153" ht="15.75" customHeight="1" x14ac:dyDescent="0.15"/>
    <row r="154" ht="15.75" customHeight="1" x14ac:dyDescent="0.15"/>
    <row r="155" ht="15.75" customHeight="1" x14ac:dyDescent="0.15"/>
    <row r="156" ht="15.75" customHeight="1" x14ac:dyDescent="0.15"/>
    <row r="157" ht="15.75" customHeight="1" x14ac:dyDescent="0.15"/>
    <row r="158" ht="15.75" customHeight="1" x14ac:dyDescent="0.15"/>
    <row r="159" ht="15.75" customHeight="1" x14ac:dyDescent="0.15"/>
    <row r="160" ht="15.75" customHeight="1" x14ac:dyDescent="0.15"/>
    <row r="161" ht="15.75" customHeight="1" x14ac:dyDescent="0.15"/>
    <row r="162" ht="15.75" customHeight="1" x14ac:dyDescent="0.15"/>
    <row r="163" ht="15.75" customHeight="1" x14ac:dyDescent="0.15"/>
    <row r="164" ht="15.75" customHeight="1" x14ac:dyDescent="0.15"/>
    <row r="165" ht="15.75" customHeight="1" x14ac:dyDescent="0.15"/>
    <row r="166" ht="15.75" customHeight="1" x14ac:dyDescent="0.15"/>
    <row r="167" ht="15.75" customHeight="1" x14ac:dyDescent="0.15"/>
    <row r="168" ht="15.75" customHeight="1" x14ac:dyDescent="0.15"/>
    <row r="169" ht="15.75" customHeight="1" x14ac:dyDescent="0.15"/>
    <row r="170" ht="15.75" customHeight="1" x14ac:dyDescent="0.15"/>
    <row r="171" ht="15.75" customHeight="1" x14ac:dyDescent="0.15"/>
    <row r="172" ht="15.75" customHeight="1" x14ac:dyDescent="0.15"/>
    <row r="173" ht="15.75" customHeight="1" x14ac:dyDescent="0.15"/>
    <row r="174" ht="15.75" customHeight="1" x14ac:dyDescent="0.15"/>
    <row r="175" ht="15.75" customHeight="1" x14ac:dyDescent="0.15"/>
    <row r="176" ht="15.75" customHeight="1" x14ac:dyDescent="0.15"/>
    <row r="177" ht="15.75" customHeight="1" x14ac:dyDescent="0.15"/>
    <row r="178" ht="15.75" customHeight="1" x14ac:dyDescent="0.15"/>
    <row r="179" ht="15.75" customHeight="1" x14ac:dyDescent="0.15"/>
    <row r="180" ht="15.75" customHeight="1" x14ac:dyDescent="0.15"/>
    <row r="181" ht="15.75" customHeight="1" x14ac:dyDescent="0.15"/>
    <row r="182" ht="15.75" customHeight="1" x14ac:dyDescent="0.15"/>
    <row r="183" ht="15.75" customHeight="1" x14ac:dyDescent="0.15"/>
    <row r="184" ht="15.75" customHeight="1" x14ac:dyDescent="0.15"/>
    <row r="185" ht="15.75" customHeight="1" x14ac:dyDescent="0.15"/>
    <row r="186" ht="15.75" customHeight="1" x14ac:dyDescent="0.15"/>
    <row r="187" ht="15.75" customHeight="1" x14ac:dyDescent="0.15"/>
    <row r="188" ht="15.75" customHeight="1" x14ac:dyDescent="0.15"/>
    <row r="189" ht="15.75" customHeight="1" x14ac:dyDescent="0.15"/>
    <row r="190" ht="15.75" customHeight="1" x14ac:dyDescent="0.15"/>
    <row r="191" ht="15.75" customHeight="1" x14ac:dyDescent="0.15"/>
    <row r="192" ht="15.75" customHeight="1" x14ac:dyDescent="0.15"/>
    <row r="193" ht="15.75" customHeight="1" x14ac:dyDescent="0.15"/>
    <row r="194" ht="15.75" customHeight="1" x14ac:dyDescent="0.15"/>
    <row r="195" ht="15.75" customHeight="1" x14ac:dyDescent="0.15"/>
    <row r="196" ht="15.75" customHeight="1" x14ac:dyDescent="0.15"/>
    <row r="197" ht="15.75" customHeight="1" x14ac:dyDescent="0.15"/>
    <row r="198" ht="15.75" customHeight="1" x14ac:dyDescent="0.15"/>
    <row r="199" ht="15.75" customHeight="1" x14ac:dyDescent="0.15"/>
    <row r="200" ht="15.75" customHeight="1" x14ac:dyDescent="0.15"/>
    <row r="201" ht="15.75" customHeight="1" x14ac:dyDescent="0.15"/>
    <row r="202" ht="15.75" customHeight="1" x14ac:dyDescent="0.15"/>
    <row r="203" ht="15.75" customHeight="1" x14ac:dyDescent="0.15"/>
    <row r="204" ht="15.75" customHeight="1" x14ac:dyDescent="0.15"/>
    <row r="205" ht="15.75" customHeight="1" x14ac:dyDescent="0.15"/>
    <row r="206" ht="15.75" customHeight="1" x14ac:dyDescent="0.15"/>
    <row r="207" ht="15.75" customHeight="1" x14ac:dyDescent="0.15"/>
    <row r="208" ht="15.75" customHeight="1" x14ac:dyDescent="0.15"/>
    <row r="209" ht="15.75" customHeight="1" x14ac:dyDescent="0.15"/>
    <row r="210" ht="15.75" customHeight="1" x14ac:dyDescent="0.15"/>
    <row r="211" ht="15.75" customHeight="1" x14ac:dyDescent="0.15"/>
    <row r="212" ht="15.75" customHeight="1" x14ac:dyDescent="0.15"/>
    <row r="213" ht="15.75" customHeight="1" x14ac:dyDescent="0.15"/>
    <row r="214" ht="15.75" customHeight="1" x14ac:dyDescent="0.15"/>
    <row r="215" ht="15.75" customHeight="1" x14ac:dyDescent="0.15"/>
    <row r="216" ht="15.75" customHeight="1" x14ac:dyDescent="0.15"/>
    <row r="217" ht="15.75" customHeight="1" x14ac:dyDescent="0.15"/>
    <row r="218" ht="15.75" customHeight="1" x14ac:dyDescent="0.15"/>
    <row r="219" ht="15.75" customHeight="1" x14ac:dyDescent="0.15"/>
    <row r="220" ht="15.75" customHeight="1" x14ac:dyDescent="0.15"/>
    <row r="221" ht="15.75" customHeight="1" x14ac:dyDescent="0.15"/>
    <row r="222" ht="15.75" customHeight="1" x14ac:dyDescent="0.15"/>
    <row r="223" ht="15.75" customHeight="1" x14ac:dyDescent="0.15"/>
    <row r="224" ht="15.75" customHeight="1" x14ac:dyDescent="0.15"/>
    <row r="225" ht="15.75" customHeight="1" x14ac:dyDescent="0.15"/>
    <row r="226" ht="15.75" customHeight="1" x14ac:dyDescent="0.15"/>
    <row r="227" ht="15.75" customHeight="1" x14ac:dyDescent="0.15"/>
    <row r="228" ht="15.75" customHeight="1" x14ac:dyDescent="0.15"/>
    <row r="229" ht="15.75" customHeight="1" x14ac:dyDescent="0.15"/>
    <row r="230" ht="15.75" customHeight="1" x14ac:dyDescent="0.15"/>
    <row r="231" ht="15.75" customHeight="1" x14ac:dyDescent="0.15"/>
    <row r="232" ht="15.75" customHeight="1" x14ac:dyDescent="0.15"/>
    <row r="233" ht="15.75" customHeight="1" x14ac:dyDescent="0.15"/>
    <row r="234" ht="15.75" customHeight="1" x14ac:dyDescent="0.15"/>
    <row r="235" ht="15.75" customHeight="1" x14ac:dyDescent="0.15"/>
    <row r="236" ht="15.75" customHeight="1" x14ac:dyDescent="0.15"/>
    <row r="237" ht="15.75" customHeight="1" x14ac:dyDescent="0.15"/>
    <row r="238" ht="15.75" customHeight="1" x14ac:dyDescent="0.15"/>
    <row r="239" ht="15.75" customHeight="1" x14ac:dyDescent="0.15"/>
    <row r="240" ht="15.75" customHeight="1" x14ac:dyDescent="0.15"/>
    <row r="241" ht="15.75" customHeight="1" x14ac:dyDescent="0.15"/>
    <row r="242" ht="15.75" customHeight="1" x14ac:dyDescent="0.15"/>
    <row r="243" ht="15.75" customHeight="1" x14ac:dyDescent="0.15"/>
    <row r="244" ht="15.75" customHeight="1" x14ac:dyDescent="0.15"/>
    <row r="245" ht="15.75" customHeight="1" x14ac:dyDescent="0.15"/>
    <row r="246" ht="15.75" customHeight="1" x14ac:dyDescent="0.15"/>
    <row r="247" ht="15.75" customHeight="1" x14ac:dyDescent="0.15"/>
    <row r="248" ht="15.75" customHeight="1" x14ac:dyDescent="0.15"/>
    <row r="249" ht="15.75" customHeight="1" x14ac:dyDescent="0.15"/>
    <row r="250" ht="15.75" customHeight="1" x14ac:dyDescent="0.15"/>
    <row r="251" ht="15.75" customHeight="1" x14ac:dyDescent="0.15"/>
    <row r="252" ht="15.75" customHeight="1" x14ac:dyDescent="0.15"/>
    <row r="253" ht="15.75" customHeight="1" x14ac:dyDescent="0.15"/>
    <row r="254" ht="15.75" customHeight="1" x14ac:dyDescent="0.15"/>
    <row r="255" ht="15.75" customHeight="1" x14ac:dyDescent="0.15"/>
    <row r="256" ht="15.75" customHeight="1" x14ac:dyDescent="0.15"/>
    <row r="257" ht="15.75" customHeight="1" x14ac:dyDescent="0.15"/>
    <row r="258" ht="15.75" customHeight="1" x14ac:dyDescent="0.15"/>
    <row r="259" ht="15.75" customHeight="1" x14ac:dyDescent="0.15"/>
    <row r="260" ht="15.75" customHeight="1" x14ac:dyDescent="0.15"/>
    <row r="261" ht="15.75" customHeight="1" x14ac:dyDescent="0.15"/>
    <row r="262" ht="15.75" customHeight="1" x14ac:dyDescent="0.15"/>
    <row r="263" ht="15.75" customHeight="1" x14ac:dyDescent="0.15"/>
    <row r="264" ht="15.75" customHeight="1" x14ac:dyDescent="0.15"/>
    <row r="265" ht="15.75" customHeight="1" x14ac:dyDescent="0.15"/>
    <row r="266" ht="15.75" customHeight="1" x14ac:dyDescent="0.15"/>
    <row r="267" ht="15.75" customHeight="1" x14ac:dyDescent="0.15"/>
    <row r="268" ht="15.75" customHeight="1" x14ac:dyDescent="0.15"/>
    <row r="269" ht="15.75" customHeight="1" x14ac:dyDescent="0.15"/>
    <row r="270" ht="15.75" customHeight="1" x14ac:dyDescent="0.15"/>
    <row r="271" ht="15.75" customHeight="1" x14ac:dyDescent="0.15"/>
    <row r="272" ht="15.75" customHeight="1" x14ac:dyDescent="0.15"/>
    <row r="273" ht="15.75" customHeight="1" x14ac:dyDescent="0.15"/>
    <row r="274" ht="15.75" customHeight="1" x14ac:dyDescent="0.15"/>
    <row r="275" ht="15.75" customHeight="1" x14ac:dyDescent="0.15"/>
    <row r="276" ht="15.75" customHeight="1" x14ac:dyDescent="0.15"/>
    <row r="277" ht="15.75" customHeight="1" x14ac:dyDescent="0.15"/>
    <row r="278" ht="15.75" customHeight="1" x14ac:dyDescent="0.15"/>
    <row r="279" ht="15.75" customHeight="1" x14ac:dyDescent="0.15"/>
    <row r="280" ht="15.75" customHeight="1" x14ac:dyDescent="0.15"/>
    <row r="281" ht="15.75" customHeight="1" x14ac:dyDescent="0.15"/>
    <row r="282" ht="15.75" customHeight="1" x14ac:dyDescent="0.15"/>
    <row r="283" ht="15.75" customHeight="1" x14ac:dyDescent="0.15"/>
    <row r="284" ht="15.75" customHeight="1" x14ac:dyDescent="0.15"/>
    <row r="285" ht="15.75" customHeight="1" x14ac:dyDescent="0.15"/>
    <row r="286" ht="15.75" customHeight="1" x14ac:dyDescent="0.15"/>
    <row r="287" ht="15.75" customHeight="1" x14ac:dyDescent="0.15"/>
    <row r="288" ht="15.75" customHeight="1" x14ac:dyDescent="0.15"/>
    <row r="289" ht="15.75" customHeight="1" x14ac:dyDescent="0.15"/>
    <row r="290" ht="15.75" customHeight="1" x14ac:dyDescent="0.15"/>
    <row r="291" ht="15.75" customHeight="1" x14ac:dyDescent="0.15"/>
    <row r="292" ht="15.75" customHeight="1" x14ac:dyDescent="0.15"/>
    <row r="293" ht="15.75" customHeight="1" x14ac:dyDescent="0.15"/>
    <row r="294" ht="15.75" customHeight="1" x14ac:dyDescent="0.15"/>
    <row r="295" ht="15.75" customHeight="1" x14ac:dyDescent="0.15"/>
    <row r="296" ht="15.75" customHeight="1" x14ac:dyDescent="0.15"/>
    <row r="297" ht="15.75" customHeight="1" x14ac:dyDescent="0.15"/>
    <row r="298" ht="15.75" customHeight="1" x14ac:dyDescent="0.15"/>
    <row r="299" ht="15.75" customHeight="1" x14ac:dyDescent="0.15"/>
    <row r="300" ht="15.75" customHeight="1" x14ac:dyDescent="0.15"/>
    <row r="301" ht="15.75" customHeight="1" x14ac:dyDescent="0.15"/>
    <row r="302" ht="15.75" customHeight="1" x14ac:dyDescent="0.15"/>
    <row r="303" ht="15.75" customHeight="1" x14ac:dyDescent="0.15"/>
    <row r="304" ht="15.75" customHeight="1" x14ac:dyDescent="0.15"/>
    <row r="305" ht="15.75" customHeight="1" x14ac:dyDescent="0.15"/>
    <row r="306" ht="15.75" customHeight="1" x14ac:dyDescent="0.15"/>
    <row r="307" ht="15.75" customHeight="1" x14ac:dyDescent="0.15"/>
    <row r="308" ht="15.75" customHeight="1" x14ac:dyDescent="0.15"/>
    <row r="309" ht="15.75" customHeight="1" x14ac:dyDescent="0.15"/>
    <row r="310" ht="15.75" customHeight="1" x14ac:dyDescent="0.15"/>
    <row r="311" ht="15.75" customHeight="1" x14ac:dyDescent="0.15"/>
    <row r="312" ht="15.75" customHeight="1" x14ac:dyDescent="0.15"/>
    <row r="313" ht="15.75" customHeight="1" x14ac:dyDescent="0.15"/>
    <row r="314" ht="15.75" customHeight="1" x14ac:dyDescent="0.15"/>
    <row r="315" ht="15.75" customHeight="1" x14ac:dyDescent="0.15"/>
    <row r="316" ht="15.75" customHeight="1" x14ac:dyDescent="0.15"/>
    <row r="317" ht="15.75" customHeight="1" x14ac:dyDescent="0.15"/>
    <row r="318" ht="15.75" customHeight="1" x14ac:dyDescent="0.15"/>
    <row r="319" ht="15.75" customHeight="1" x14ac:dyDescent="0.15"/>
    <row r="320" ht="15.75" customHeight="1" x14ac:dyDescent="0.15"/>
    <row r="321" ht="15.75" customHeight="1" x14ac:dyDescent="0.15"/>
    <row r="322" ht="15.75" customHeight="1" x14ac:dyDescent="0.15"/>
    <row r="323" ht="15.75" customHeight="1" x14ac:dyDescent="0.15"/>
    <row r="324" ht="15.75" customHeight="1" x14ac:dyDescent="0.15"/>
    <row r="325" ht="15.75" customHeight="1" x14ac:dyDescent="0.15"/>
    <row r="326" ht="15.75" customHeight="1" x14ac:dyDescent="0.15"/>
    <row r="327" ht="15.75" customHeight="1" x14ac:dyDescent="0.15"/>
    <row r="328" ht="15.75" customHeight="1" x14ac:dyDescent="0.15"/>
    <row r="329" ht="15.75" customHeight="1" x14ac:dyDescent="0.15"/>
    <row r="330" ht="15.75" customHeight="1" x14ac:dyDescent="0.15"/>
    <row r="331" ht="15.75" customHeight="1" x14ac:dyDescent="0.15"/>
    <row r="332" ht="15.75" customHeight="1" x14ac:dyDescent="0.15"/>
    <row r="333" ht="15.75" customHeight="1" x14ac:dyDescent="0.15"/>
    <row r="334" ht="15.75" customHeight="1" x14ac:dyDescent="0.15"/>
    <row r="335" ht="15.75" customHeight="1" x14ac:dyDescent="0.15"/>
    <row r="336" ht="15.75" customHeight="1" x14ac:dyDescent="0.15"/>
    <row r="337" ht="15.75" customHeight="1" x14ac:dyDescent="0.15"/>
    <row r="338" ht="15.75" customHeight="1" x14ac:dyDescent="0.15"/>
    <row r="339" ht="15.75" customHeight="1" x14ac:dyDescent="0.15"/>
    <row r="340" ht="15.75" customHeight="1" x14ac:dyDescent="0.15"/>
    <row r="341" ht="15.75" customHeight="1" x14ac:dyDescent="0.15"/>
    <row r="342" ht="15.75" customHeight="1" x14ac:dyDescent="0.15"/>
    <row r="343" ht="15.75" customHeight="1" x14ac:dyDescent="0.15"/>
    <row r="344" ht="15.75" customHeight="1" x14ac:dyDescent="0.15"/>
    <row r="345" ht="15.75" customHeight="1" x14ac:dyDescent="0.15"/>
    <row r="346" ht="15.75" customHeight="1" x14ac:dyDescent="0.15"/>
    <row r="347" ht="15.75" customHeight="1" x14ac:dyDescent="0.15"/>
    <row r="348" ht="15.75" customHeight="1" x14ac:dyDescent="0.15"/>
    <row r="349" ht="15.75" customHeight="1" x14ac:dyDescent="0.15"/>
    <row r="350" ht="15.75" customHeight="1" x14ac:dyDescent="0.15"/>
    <row r="351" ht="15.75" customHeight="1" x14ac:dyDescent="0.15"/>
    <row r="352" ht="15.75" customHeight="1" x14ac:dyDescent="0.15"/>
    <row r="353" ht="15.75" customHeight="1" x14ac:dyDescent="0.15"/>
    <row r="354" ht="15.75" customHeight="1" x14ac:dyDescent="0.15"/>
    <row r="355" ht="15.75" customHeight="1" x14ac:dyDescent="0.15"/>
    <row r="356" ht="15.75" customHeight="1" x14ac:dyDescent="0.15"/>
    <row r="357" ht="15.75" customHeight="1" x14ac:dyDescent="0.15"/>
    <row r="358" ht="15.75" customHeight="1" x14ac:dyDescent="0.15"/>
    <row r="359" ht="15.75" customHeight="1" x14ac:dyDescent="0.15"/>
    <row r="360" ht="15.75" customHeight="1" x14ac:dyDescent="0.15"/>
    <row r="361" ht="15.75" customHeight="1" x14ac:dyDescent="0.15"/>
    <row r="362" ht="15.75" customHeight="1" x14ac:dyDescent="0.15"/>
    <row r="363" ht="15.75" customHeight="1" x14ac:dyDescent="0.15"/>
    <row r="364" ht="15.75" customHeight="1" x14ac:dyDescent="0.15"/>
    <row r="365" ht="15.75" customHeight="1" x14ac:dyDescent="0.15"/>
    <row r="366" ht="15.75" customHeight="1" x14ac:dyDescent="0.15"/>
    <row r="367" ht="15.75" customHeight="1" x14ac:dyDescent="0.15"/>
    <row r="368" ht="15.75" customHeight="1" x14ac:dyDescent="0.15"/>
    <row r="369" ht="15.75" customHeight="1" x14ac:dyDescent="0.15"/>
    <row r="370" ht="15.75" customHeight="1" x14ac:dyDescent="0.15"/>
    <row r="371" ht="15.75" customHeight="1" x14ac:dyDescent="0.15"/>
    <row r="372" ht="15.75" customHeight="1" x14ac:dyDescent="0.15"/>
    <row r="373" ht="15.75" customHeight="1" x14ac:dyDescent="0.15"/>
    <row r="374" ht="15.75" customHeight="1" x14ac:dyDescent="0.15"/>
    <row r="375" ht="15.75" customHeight="1" x14ac:dyDescent="0.15"/>
    <row r="376" ht="15.75" customHeight="1" x14ac:dyDescent="0.15"/>
    <row r="377" ht="15.75" customHeight="1" x14ac:dyDescent="0.15"/>
    <row r="378" ht="15.75" customHeight="1" x14ac:dyDescent="0.15"/>
    <row r="379" ht="15.75" customHeight="1" x14ac:dyDescent="0.15"/>
    <row r="380" ht="15.75" customHeight="1" x14ac:dyDescent="0.15"/>
    <row r="381" ht="15.75" customHeight="1" x14ac:dyDescent="0.15"/>
    <row r="382" ht="15.75" customHeight="1" x14ac:dyDescent="0.15"/>
    <row r="383" ht="15.75" customHeight="1" x14ac:dyDescent="0.15"/>
    <row r="384" ht="15.75" customHeight="1" x14ac:dyDescent="0.15"/>
    <row r="385" ht="15.75" customHeight="1" x14ac:dyDescent="0.15"/>
    <row r="386" ht="15.75" customHeight="1" x14ac:dyDescent="0.15"/>
    <row r="387" ht="15.75" customHeight="1" x14ac:dyDescent="0.15"/>
    <row r="388" ht="15.75" customHeight="1" x14ac:dyDescent="0.15"/>
    <row r="389" ht="15.75" customHeight="1" x14ac:dyDescent="0.15"/>
    <row r="390" ht="15.75" customHeight="1" x14ac:dyDescent="0.15"/>
    <row r="391" ht="15.75" customHeight="1" x14ac:dyDescent="0.15"/>
    <row r="392" ht="15.75" customHeight="1" x14ac:dyDescent="0.15"/>
    <row r="393" ht="15.75" customHeight="1" x14ac:dyDescent="0.15"/>
    <row r="394" ht="15.75" customHeight="1" x14ac:dyDescent="0.15"/>
    <row r="395" ht="15.75" customHeight="1" x14ac:dyDescent="0.15"/>
    <row r="396" ht="15.75" customHeight="1" x14ac:dyDescent="0.15"/>
    <row r="397" ht="15.75" customHeight="1" x14ac:dyDescent="0.15"/>
    <row r="398" ht="15.75" customHeight="1" x14ac:dyDescent="0.15"/>
    <row r="399" ht="15.75" customHeight="1" x14ac:dyDescent="0.15"/>
    <row r="400" ht="15.75" customHeight="1" x14ac:dyDescent="0.15"/>
    <row r="401" ht="15.75" customHeight="1" x14ac:dyDescent="0.15"/>
    <row r="402" ht="15.75" customHeight="1" x14ac:dyDescent="0.15"/>
    <row r="403" ht="15.75" customHeight="1" x14ac:dyDescent="0.15"/>
    <row r="404" ht="15.75" customHeight="1" x14ac:dyDescent="0.15"/>
    <row r="405" ht="15.75" customHeight="1" x14ac:dyDescent="0.15"/>
    <row r="406" ht="15.75" customHeight="1" x14ac:dyDescent="0.15"/>
    <row r="407" ht="15.75" customHeight="1" x14ac:dyDescent="0.15"/>
    <row r="408" ht="15.75" customHeight="1" x14ac:dyDescent="0.15"/>
    <row r="409" ht="15.75" customHeight="1" x14ac:dyDescent="0.15"/>
    <row r="410" ht="15.75" customHeight="1" x14ac:dyDescent="0.15"/>
    <row r="411" ht="15.75" customHeight="1" x14ac:dyDescent="0.15"/>
    <row r="412" ht="15.75" customHeight="1" x14ac:dyDescent="0.15"/>
    <row r="413" ht="15.75" customHeight="1" x14ac:dyDescent="0.15"/>
    <row r="414" ht="15.75" customHeight="1" x14ac:dyDescent="0.15"/>
    <row r="415" ht="15.75" customHeight="1" x14ac:dyDescent="0.15"/>
    <row r="416" ht="15.75" customHeight="1" x14ac:dyDescent="0.15"/>
    <row r="417" ht="15.75" customHeight="1" x14ac:dyDescent="0.15"/>
    <row r="418" ht="15.75" customHeight="1" x14ac:dyDescent="0.15"/>
    <row r="419" ht="15.75" customHeight="1" x14ac:dyDescent="0.15"/>
    <row r="420" ht="15.75" customHeight="1" x14ac:dyDescent="0.15"/>
    <row r="421" ht="15.75" customHeight="1" x14ac:dyDescent="0.15"/>
    <row r="422" ht="15.75" customHeight="1" x14ac:dyDescent="0.15"/>
    <row r="423" ht="15.75" customHeight="1" x14ac:dyDescent="0.15"/>
    <row r="424" ht="15.75" customHeight="1" x14ac:dyDescent="0.15"/>
    <row r="425" ht="15.75" customHeight="1" x14ac:dyDescent="0.15"/>
    <row r="426" ht="15.75" customHeight="1" x14ac:dyDescent="0.15"/>
    <row r="427" ht="15.75" customHeight="1" x14ac:dyDescent="0.15"/>
    <row r="428" ht="15.75" customHeight="1" x14ac:dyDescent="0.15"/>
    <row r="429" ht="15.75" customHeight="1" x14ac:dyDescent="0.15"/>
    <row r="430" ht="15.75" customHeight="1" x14ac:dyDescent="0.15"/>
    <row r="431" ht="15.75" customHeight="1" x14ac:dyDescent="0.15"/>
    <row r="432" ht="15.75" customHeight="1" x14ac:dyDescent="0.15"/>
    <row r="433" ht="15.75" customHeight="1" x14ac:dyDescent="0.15"/>
    <row r="434" ht="15.75" customHeight="1" x14ac:dyDescent="0.15"/>
    <row r="435" ht="15.75" customHeight="1" x14ac:dyDescent="0.15"/>
    <row r="436" ht="15.75" customHeight="1" x14ac:dyDescent="0.15"/>
    <row r="437" ht="15.75" customHeight="1" x14ac:dyDescent="0.15"/>
    <row r="438" ht="15.75" customHeight="1" x14ac:dyDescent="0.15"/>
    <row r="439" ht="15.75" customHeight="1" x14ac:dyDescent="0.15"/>
    <row r="440" ht="15.75" customHeight="1" x14ac:dyDescent="0.15"/>
    <row r="441" ht="15.75" customHeight="1" x14ac:dyDescent="0.15"/>
    <row r="442" ht="15.75" customHeight="1" x14ac:dyDescent="0.15"/>
    <row r="443" ht="15.75" customHeight="1" x14ac:dyDescent="0.15"/>
    <row r="444" ht="15.75" customHeight="1" x14ac:dyDescent="0.15"/>
    <row r="445" ht="15.75" customHeight="1" x14ac:dyDescent="0.15"/>
    <row r="446" ht="15.75" customHeight="1" x14ac:dyDescent="0.15"/>
    <row r="447" ht="15.75" customHeight="1" x14ac:dyDescent="0.15"/>
    <row r="448" ht="15.75" customHeight="1" x14ac:dyDescent="0.15"/>
    <row r="449" ht="15.75" customHeight="1" x14ac:dyDescent="0.15"/>
    <row r="450" ht="15.75" customHeight="1" x14ac:dyDescent="0.15"/>
    <row r="451" ht="15.75" customHeight="1" x14ac:dyDescent="0.15"/>
    <row r="452" ht="15.75" customHeight="1" x14ac:dyDescent="0.15"/>
    <row r="453" ht="15.75" customHeight="1" x14ac:dyDescent="0.15"/>
    <row r="454" ht="15.75" customHeight="1" x14ac:dyDescent="0.15"/>
    <row r="455" ht="15.75" customHeight="1" x14ac:dyDescent="0.15"/>
    <row r="456" ht="15.75" customHeight="1" x14ac:dyDescent="0.15"/>
    <row r="457" ht="15.75" customHeight="1" x14ac:dyDescent="0.15"/>
    <row r="458" ht="15.75" customHeight="1" x14ac:dyDescent="0.15"/>
    <row r="459" ht="15.75" customHeight="1" x14ac:dyDescent="0.15"/>
    <row r="460" ht="15.75" customHeight="1" x14ac:dyDescent="0.15"/>
    <row r="461" ht="15.75" customHeight="1" x14ac:dyDescent="0.15"/>
    <row r="462" ht="15.75" customHeight="1" x14ac:dyDescent="0.15"/>
    <row r="463" ht="15.75" customHeight="1" x14ac:dyDescent="0.15"/>
    <row r="464" ht="15.75" customHeight="1" x14ac:dyDescent="0.15"/>
    <row r="465" ht="15.75" customHeight="1" x14ac:dyDescent="0.15"/>
    <row r="466" ht="15.75" customHeight="1" x14ac:dyDescent="0.15"/>
    <row r="467" ht="15.75" customHeight="1" x14ac:dyDescent="0.15"/>
    <row r="468" ht="15.75" customHeight="1" x14ac:dyDescent="0.15"/>
    <row r="469" ht="15.75" customHeight="1" x14ac:dyDescent="0.15"/>
    <row r="470" ht="15.75" customHeight="1" x14ac:dyDescent="0.15"/>
    <row r="471" ht="15.75" customHeight="1" x14ac:dyDescent="0.15"/>
    <row r="472" ht="15.75" customHeight="1" x14ac:dyDescent="0.15"/>
    <row r="473" ht="15.75" customHeight="1" x14ac:dyDescent="0.15"/>
    <row r="474" ht="15.75" customHeight="1" x14ac:dyDescent="0.15"/>
    <row r="475" ht="15.75" customHeight="1" x14ac:dyDescent="0.15"/>
    <row r="476" ht="15.75" customHeight="1" x14ac:dyDescent="0.15"/>
    <row r="477" ht="15.75" customHeight="1" x14ac:dyDescent="0.15"/>
    <row r="478" ht="15.75" customHeight="1" x14ac:dyDescent="0.15"/>
    <row r="479" ht="15.75" customHeight="1" x14ac:dyDescent="0.15"/>
    <row r="480" ht="15.75" customHeight="1" x14ac:dyDescent="0.15"/>
    <row r="481" ht="15.75" customHeight="1" x14ac:dyDescent="0.15"/>
    <row r="482" ht="15.75" customHeight="1" x14ac:dyDescent="0.15"/>
    <row r="483" ht="15.75" customHeight="1" x14ac:dyDescent="0.15"/>
    <row r="484" ht="15.75" customHeight="1" x14ac:dyDescent="0.15"/>
    <row r="485" ht="15.75" customHeight="1" x14ac:dyDescent="0.15"/>
    <row r="486" ht="15.75" customHeight="1" x14ac:dyDescent="0.15"/>
    <row r="487" ht="15.75" customHeight="1" x14ac:dyDescent="0.15"/>
    <row r="488" ht="15.75" customHeight="1" x14ac:dyDescent="0.15"/>
    <row r="489" ht="15.75" customHeight="1" x14ac:dyDescent="0.15"/>
    <row r="490" ht="15.75" customHeight="1" x14ac:dyDescent="0.15"/>
    <row r="491" ht="15.75" customHeight="1" x14ac:dyDescent="0.15"/>
    <row r="492" ht="15.75" customHeight="1" x14ac:dyDescent="0.15"/>
    <row r="493" ht="15.75" customHeight="1" x14ac:dyDescent="0.15"/>
    <row r="494" ht="15.75" customHeight="1" x14ac:dyDescent="0.15"/>
    <row r="495" ht="15.75" customHeight="1" x14ac:dyDescent="0.15"/>
    <row r="496" ht="15.75" customHeight="1" x14ac:dyDescent="0.15"/>
    <row r="497" ht="15.75" customHeight="1" x14ac:dyDescent="0.15"/>
    <row r="498" ht="15.75" customHeight="1" x14ac:dyDescent="0.15"/>
    <row r="499" ht="15.75" customHeight="1" x14ac:dyDescent="0.15"/>
    <row r="500" ht="15.75" customHeight="1" x14ac:dyDescent="0.15"/>
    <row r="501" ht="15.75" customHeight="1" x14ac:dyDescent="0.15"/>
    <row r="502" ht="15.75" customHeight="1" x14ac:dyDescent="0.15"/>
    <row r="503" ht="15.75" customHeight="1" x14ac:dyDescent="0.15"/>
    <row r="504" ht="15.75" customHeight="1" x14ac:dyDescent="0.15"/>
    <row r="505" ht="15.75" customHeight="1" x14ac:dyDescent="0.15"/>
    <row r="506" ht="15.75" customHeight="1" x14ac:dyDescent="0.15"/>
    <row r="507" ht="15.75" customHeight="1" x14ac:dyDescent="0.15"/>
    <row r="508" ht="15.75" customHeight="1" x14ac:dyDescent="0.15"/>
    <row r="509" ht="15.75" customHeight="1" x14ac:dyDescent="0.15"/>
    <row r="510" ht="15.75" customHeight="1" x14ac:dyDescent="0.15"/>
    <row r="511" ht="15.75" customHeight="1" x14ac:dyDescent="0.15"/>
    <row r="512" ht="15.75" customHeight="1" x14ac:dyDescent="0.15"/>
    <row r="513" ht="15.75" customHeight="1" x14ac:dyDescent="0.15"/>
    <row r="514" ht="15.75" customHeight="1" x14ac:dyDescent="0.15"/>
    <row r="515" ht="15.75" customHeight="1" x14ac:dyDescent="0.15"/>
    <row r="516" ht="15.75" customHeight="1" x14ac:dyDescent="0.15"/>
    <row r="517" ht="15.75" customHeight="1" x14ac:dyDescent="0.15"/>
    <row r="518" ht="15.75" customHeight="1" x14ac:dyDescent="0.15"/>
    <row r="519" ht="15.75" customHeight="1" x14ac:dyDescent="0.15"/>
    <row r="520" ht="15.75" customHeight="1" x14ac:dyDescent="0.15"/>
    <row r="521" ht="15.75" customHeight="1" x14ac:dyDescent="0.15"/>
    <row r="522" ht="15.75" customHeight="1" x14ac:dyDescent="0.15"/>
    <row r="523" ht="15.75" customHeight="1" x14ac:dyDescent="0.15"/>
    <row r="524" ht="15.75" customHeight="1" x14ac:dyDescent="0.15"/>
    <row r="525" ht="15.75" customHeight="1" x14ac:dyDescent="0.15"/>
    <row r="526" ht="15.75" customHeight="1" x14ac:dyDescent="0.15"/>
    <row r="527" ht="15.75" customHeight="1" x14ac:dyDescent="0.15"/>
    <row r="528" ht="15.75" customHeight="1" x14ac:dyDescent="0.15"/>
    <row r="529" ht="15.75" customHeight="1" x14ac:dyDescent="0.15"/>
    <row r="530" ht="15.75" customHeight="1" x14ac:dyDescent="0.15"/>
    <row r="531" ht="15.75" customHeight="1" x14ac:dyDescent="0.15"/>
    <row r="532" ht="15.75" customHeight="1" x14ac:dyDescent="0.15"/>
    <row r="533" ht="15.75" customHeight="1" x14ac:dyDescent="0.15"/>
    <row r="534" ht="15.75" customHeight="1" x14ac:dyDescent="0.15"/>
    <row r="535" ht="15.75" customHeight="1" x14ac:dyDescent="0.15"/>
    <row r="536" ht="15.75" customHeight="1" x14ac:dyDescent="0.15"/>
    <row r="537" ht="15.75" customHeight="1" x14ac:dyDescent="0.15"/>
    <row r="538" ht="15.75" customHeight="1" x14ac:dyDescent="0.15"/>
    <row r="539" ht="15.75" customHeight="1" x14ac:dyDescent="0.15"/>
    <row r="540" ht="15.75" customHeight="1" x14ac:dyDescent="0.15"/>
    <row r="541" ht="15.75" customHeight="1" x14ac:dyDescent="0.15"/>
    <row r="542" ht="15.75" customHeight="1" x14ac:dyDescent="0.15"/>
    <row r="543" ht="15.75" customHeight="1" x14ac:dyDescent="0.15"/>
    <row r="544" ht="15.75" customHeight="1" x14ac:dyDescent="0.15"/>
    <row r="545" ht="15.75" customHeight="1" x14ac:dyDescent="0.15"/>
    <row r="546" ht="15.75" customHeight="1" x14ac:dyDescent="0.15"/>
    <row r="547" ht="15.75" customHeight="1" x14ac:dyDescent="0.15"/>
    <row r="548" ht="15.75" customHeight="1" x14ac:dyDescent="0.15"/>
    <row r="549" ht="15.75" customHeight="1" x14ac:dyDescent="0.15"/>
    <row r="550" ht="15.75" customHeight="1" x14ac:dyDescent="0.15"/>
    <row r="551" ht="15.75" customHeight="1" x14ac:dyDescent="0.15"/>
    <row r="552" ht="15.75" customHeight="1" x14ac:dyDescent="0.15"/>
    <row r="553" ht="15.75" customHeight="1" x14ac:dyDescent="0.15"/>
    <row r="554" ht="15.75" customHeight="1" x14ac:dyDescent="0.15"/>
    <row r="555" ht="15.75" customHeight="1" x14ac:dyDescent="0.15"/>
    <row r="556" ht="15.75" customHeight="1" x14ac:dyDescent="0.15"/>
    <row r="557" ht="15.75" customHeight="1" x14ac:dyDescent="0.15"/>
    <row r="558" ht="15.75" customHeight="1" x14ac:dyDescent="0.15"/>
    <row r="559" ht="15.75" customHeight="1" x14ac:dyDescent="0.15"/>
    <row r="560" ht="15.75" customHeight="1" x14ac:dyDescent="0.15"/>
    <row r="561" ht="15.75" customHeight="1" x14ac:dyDescent="0.15"/>
    <row r="562" ht="15.75" customHeight="1" x14ac:dyDescent="0.15"/>
    <row r="563" ht="15.75" customHeight="1" x14ac:dyDescent="0.15"/>
    <row r="564" ht="15.75" customHeight="1" x14ac:dyDescent="0.15"/>
    <row r="565" ht="15.75" customHeight="1" x14ac:dyDescent="0.15"/>
    <row r="566" ht="15.75" customHeight="1" x14ac:dyDescent="0.15"/>
    <row r="567" ht="15.75" customHeight="1" x14ac:dyDescent="0.15"/>
    <row r="568" ht="15.75" customHeight="1" x14ac:dyDescent="0.15"/>
    <row r="569" ht="15.75" customHeight="1" x14ac:dyDescent="0.15"/>
    <row r="570" ht="15.75" customHeight="1" x14ac:dyDescent="0.15"/>
    <row r="571" ht="15.75" customHeight="1" x14ac:dyDescent="0.15"/>
    <row r="572" ht="15.75" customHeight="1" x14ac:dyDescent="0.15"/>
    <row r="573" ht="15.75" customHeight="1" x14ac:dyDescent="0.15"/>
    <row r="574" ht="15.75" customHeight="1" x14ac:dyDescent="0.15"/>
    <row r="575" ht="15.75" customHeight="1" x14ac:dyDescent="0.15"/>
    <row r="576" ht="15.75" customHeight="1" x14ac:dyDescent="0.15"/>
    <row r="577" ht="15.75" customHeight="1" x14ac:dyDescent="0.15"/>
    <row r="578" ht="15.75" customHeight="1" x14ac:dyDescent="0.15"/>
    <row r="579" ht="15.75" customHeight="1" x14ac:dyDescent="0.15"/>
    <row r="580" ht="15.75" customHeight="1" x14ac:dyDescent="0.15"/>
    <row r="581" ht="15.75" customHeight="1" x14ac:dyDescent="0.15"/>
    <row r="582" ht="15.75" customHeight="1" x14ac:dyDescent="0.15"/>
    <row r="583" ht="15.75" customHeight="1" x14ac:dyDescent="0.15"/>
    <row r="584" ht="15.75" customHeight="1" x14ac:dyDescent="0.15"/>
    <row r="585" ht="15.75" customHeight="1" x14ac:dyDescent="0.15"/>
    <row r="586" ht="15.75" customHeight="1" x14ac:dyDescent="0.15"/>
    <row r="587" ht="15.75" customHeight="1" x14ac:dyDescent="0.15"/>
    <row r="588" ht="15.75" customHeight="1" x14ac:dyDescent="0.15"/>
    <row r="589" ht="15.75" customHeight="1" x14ac:dyDescent="0.15"/>
    <row r="590" ht="15.75" customHeight="1" x14ac:dyDescent="0.15"/>
    <row r="591" ht="15.75" customHeight="1" x14ac:dyDescent="0.15"/>
    <row r="592" ht="15.75" customHeight="1" x14ac:dyDescent="0.15"/>
    <row r="593" ht="15.75" customHeight="1" x14ac:dyDescent="0.15"/>
    <row r="594" ht="15.75" customHeight="1" x14ac:dyDescent="0.15"/>
    <row r="595" ht="15.75" customHeight="1" x14ac:dyDescent="0.15"/>
    <row r="596" ht="15.75" customHeight="1" x14ac:dyDescent="0.15"/>
    <row r="597" ht="15.75" customHeight="1" x14ac:dyDescent="0.15"/>
    <row r="598" ht="15.75" customHeight="1" x14ac:dyDescent="0.15"/>
    <row r="599" ht="15.75" customHeight="1" x14ac:dyDescent="0.15"/>
    <row r="600" ht="15.75" customHeight="1" x14ac:dyDescent="0.15"/>
    <row r="601" ht="15.75" customHeight="1" x14ac:dyDescent="0.15"/>
    <row r="602" ht="15.75" customHeight="1" x14ac:dyDescent="0.15"/>
    <row r="603" ht="15.75" customHeight="1" x14ac:dyDescent="0.15"/>
    <row r="604" ht="15.75" customHeight="1" x14ac:dyDescent="0.15"/>
    <row r="605" ht="15.75" customHeight="1" x14ac:dyDescent="0.15"/>
    <row r="606" ht="15.75" customHeight="1" x14ac:dyDescent="0.15"/>
    <row r="607" ht="15.75" customHeight="1" x14ac:dyDescent="0.15"/>
    <row r="608" ht="15.75" customHeight="1" x14ac:dyDescent="0.15"/>
    <row r="609" ht="15.75" customHeight="1" x14ac:dyDescent="0.15"/>
    <row r="610" ht="15.75" customHeight="1" x14ac:dyDescent="0.15"/>
    <row r="611" ht="15.75" customHeight="1" x14ac:dyDescent="0.15"/>
    <row r="612" ht="15.75" customHeight="1" x14ac:dyDescent="0.15"/>
    <row r="613" ht="15.75" customHeight="1" x14ac:dyDescent="0.15"/>
    <row r="614" ht="15.75" customHeight="1" x14ac:dyDescent="0.15"/>
    <row r="615" ht="15.75" customHeight="1" x14ac:dyDescent="0.15"/>
    <row r="616" ht="15.75" customHeight="1" x14ac:dyDescent="0.15"/>
    <row r="617" ht="15.75" customHeight="1" x14ac:dyDescent="0.15"/>
    <row r="618" ht="15.75" customHeight="1" x14ac:dyDescent="0.15"/>
    <row r="619" ht="15.75" customHeight="1" x14ac:dyDescent="0.15"/>
    <row r="620" ht="15.75" customHeight="1" x14ac:dyDescent="0.15"/>
    <row r="621" ht="15.75" customHeight="1" x14ac:dyDescent="0.15"/>
    <row r="622" ht="15.75" customHeight="1" x14ac:dyDescent="0.15"/>
    <row r="623" ht="15.75" customHeight="1" x14ac:dyDescent="0.15"/>
    <row r="624" ht="15.75" customHeight="1" x14ac:dyDescent="0.15"/>
    <row r="625" ht="15.75" customHeight="1" x14ac:dyDescent="0.15"/>
    <row r="626" ht="15.75" customHeight="1" x14ac:dyDescent="0.15"/>
    <row r="627" ht="15.75" customHeight="1" x14ac:dyDescent="0.15"/>
    <row r="628" ht="15.75" customHeight="1" x14ac:dyDescent="0.15"/>
    <row r="629" ht="15.75" customHeight="1" x14ac:dyDescent="0.15"/>
    <row r="630" ht="15.75" customHeight="1" x14ac:dyDescent="0.15"/>
    <row r="631" ht="15.75" customHeight="1" x14ac:dyDescent="0.15"/>
    <row r="632" ht="15.75" customHeight="1" x14ac:dyDescent="0.15"/>
    <row r="633" ht="15.75" customHeight="1" x14ac:dyDescent="0.15"/>
    <row r="634" ht="15.75" customHeight="1" x14ac:dyDescent="0.15"/>
    <row r="635" ht="15.75" customHeight="1" x14ac:dyDescent="0.15"/>
    <row r="636" ht="15.75" customHeight="1" x14ac:dyDescent="0.15"/>
    <row r="637" ht="15.75" customHeight="1" x14ac:dyDescent="0.15"/>
    <row r="638" ht="15.75" customHeight="1" x14ac:dyDescent="0.15"/>
    <row r="639" ht="15.75" customHeight="1" x14ac:dyDescent="0.15"/>
    <row r="640" ht="15.75" customHeight="1" x14ac:dyDescent="0.15"/>
    <row r="641" ht="15.75" customHeight="1" x14ac:dyDescent="0.15"/>
    <row r="642" ht="15.75" customHeight="1" x14ac:dyDescent="0.15"/>
    <row r="643" ht="15.75" customHeight="1" x14ac:dyDescent="0.15"/>
    <row r="644" ht="15.75" customHeight="1" x14ac:dyDescent="0.15"/>
    <row r="645" ht="15.75" customHeight="1" x14ac:dyDescent="0.15"/>
    <row r="646" ht="15.75" customHeight="1" x14ac:dyDescent="0.15"/>
    <row r="647" ht="15.75" customHeight="1" x14ac:dyDescent="0.15"/>
    <row r="648" ht="15.75" customHeight="1" x14ac:dyDescent="0.15"/>
    <row r="649" ht="15.75" customHeight="1" x14ac:dyDescent="0.15"/>
    <row r="650" ht="15.75" customHeight="1" x14ac:dyDescent="0.15"/>
    <row r="651" ht="15.75" customHeight="1" x14ac:dyDescent="0.15"/>
    <row r="652" ht="15.75" customHeight="1" x14ac:dyDescent="0.15"/>
    <row r="653" ht="15.75" customHeight="1" x14ac:dyDescent="0.15"/>
    <row r="654" ht="15.75" customHeight="1" x14ac:dyDescent="0.15"/>
    <row r="655" ht="15.75" customHeight="1" x14ac:dyDescent="0.15"/>
    <row r="656" ht="15.75" customHeight="1" x14ac:dyDescent="0.15"/>
    <row r="657" ht="15.75" customHeight="1" x14ac:dyDescent="0.15"/>
    <row r="658" ht="15.75" customHeight="1" x14ac:dyDescent="0.15"/>
    <row r="659" ht="15.75" customHeight="1" x14ac:dyDescent="0.15"/>
    <row r="660" ht="15.75" customHeight="1" x14ac:dyDescent="0.15"/>
    <row r="661" ht="15.75" customHeight="1" x14ac:dyDescent="0.15"/>
    <row r="662" ht="15.75" customHeight="1" x14ac:dyDescent="0.15"/>
    <row r="663" ht="15.75" customHeight="1" x14ac:dyDescent="0.15"/>
    <row r="664" ht="15.75" customHeight="1" x14ac:dyDescent="0.15"/>
    <row r="665" ht="15.75" customHeight="1" x14ac:dyDescent="0.15"/>
    <row r="666" ht="15.75" customHeight="1" x14ac:dyDescent="0.15"/>
    <row r="667" ht="15.75" customHeight="1" x14ac:dyDescent="0.15"/>
    <row r="668" ht="15.75" customHeight="1" x14ac:dyDescent="0.15"/>
    <row r="669" ht="15.75" customHeight="1" x14ac:dyDescent="0.15"/>
    <row r="670" ht="15.75" customHeight="1" x14ac:dyDescent="0.15"/>
    <row r="671" ht="15.75" customHeight="1" x14ac:dyDescent="0.15"/>
    <row r="672" ht="15.75" customHeight="1" x14ac:dyDescent="0.15"/>
    <row r="673" ht="15.75" customHeight="1" x14ac:dyDescent="0.15"/>
    <row r="674" ht="15.75" customHeight="1" x14ac:dyDescent="0.15"/>
    <row r="675" ht="15.75" customHeight="1" x14ac:dyDescent="0.15"/>
    <row r="676" ht="15.75" customHeight="1" x14ac:dyDescent="0.15"/>
    <row r="677" ht="15.75" customHeight="1" x14ac:dyDescent="0.15"/>
    <row r="678" ht="15.75" customHeight="1" x14ac:dyDescent="0.15"/>
    <row r="679" ht="15.75" customHeight="1" x14ac:dyDescent="0.15"/>
    <row r="680" ht="15.75" customHeight="1" x14ac:dyDescent="0.15"/>
    <row r="681" ht="15.75" customHeight="1" x14ac:dyDescent="0.15"/>
    <row r="682" ht="15.75" customHeight="1" x14ac:dyDescent="0.15"/>
    <row r="683" ht="15.75" customHeight="1" x14ac:dyDescent="0.15"/>
    <row r="684" ht="15.75" customHeight="1" x14ac:dyDescent="0.15"/>
    <row r="685" ht="15.75" customHeight="1" x14ac:dyDescent="0.15"/>
    <row r="686" ht="15.75" customHeight="1" x14ac:dyDescent="0.15"/>
    <row r="687" ht="15.75" customHeight="1" x14ac:dyDescent="0.15"/>
    <row r="688" ht="15.75" customHeight="1" x14ac:dyDescent="0.15"/>
    <row r="689" ht="15.75" customHeight="1" x14ac:dyDescent="0.15"/>
    <row r="690" ht="15.75" customHeight="1" x14ac:dyDescent="0.15"/>
    <row r="691" ht="15.75" customHeight="1" x14ac:dyDescent="0.15"/>
    <row r="692" ht="15.75" customHeight="1" x14ac:dyDescent="0.15"/>
    <row r="693" ht="15.75" customHeight="1" x14ac:dyDescent="0.15"/>
    <row r="694" ht="15.75" customHeight="1" x14ac:dyDescent="0.15"/>
    <row r="695" ht="15.75" customHeight="1" x14ac:dyDescent="0.15"/>
    <row r="696" ht="15.75" customHeight="1" x14ac:dyDescent="0.15"/>
    <row r="697" ht="15.75" customHeight="1" x14ac:dyDescent="0.15"/>
    <row r="698" ht="15.75" customHeight="1" x14ac:dyDescent="0.15"/>
    <row r="699" ht="15.75" customHeight="1" x14ac:dyDescent="0.15"/>
    <row r="700" ht="15.75" customHeight="1" x14ac:dyDescent="0.15"/>
    <row r="701" ht="15.75" customHeight="1" x14ac:dyDescent="0.15"/>
    <row r="702" ht="15.75" customHeight="1" x14ac:dyDescent="0.15"/>
    <row r="703" ht="15.75" customHeight="1" x14ac:dyDescent="0.15"/>
    <row r="704" ht="15.75" customHeight="1" x14ac:dyDescent="0.15"/>
    <row r="705" ht="15.75" customHeight="1" x14ac:dyDescent="0.15"/>
    <row r="706" ht="15.75" customHeight="1" x14ac:dyDescent="0.15"/>
    <row r="707" ht="15.75" customHeight="1" x14ac:dyDescent="0.15"/>
    <row r="708" ht="15.75" customHeight="1" x14ac:dyDescent="0.15"/>
    <row r="709" ht="15.75" customHeight="1" x14ac:dyDescent="0.15"/>
    <row r="710" ht="15.75" customHeight="1" x14ac:dyDescent="0.15"/>
    <row r="711" ht="15.75" customHeight="1" x14ac:dyDescent="0.15"/>
    <row r="712" ht="15.75" customHeight="1" x14ac:dyDescent="0.15"/>
    <row r="713" ht="15.75" customHeight="1" x14ac:dyDescent="0.15"/>
    <row r="714" ht="15.75" customHeight="1" x14ac:dyDescent="0.15"/>
    <row r="715" ht="15.75" customHeight="1" x14ac:dyDescent="0.15"/>
    <row r="716" ht="15.75" customHeight="1" x14ac:dyDescent="0.15"/>
    <row r="717" ht="15.75" customHeight="1" x14ac:dyDescent="0.15"/>
    <row r="718" ht="15.75" customHeight="1" x14ac:dyDescent="0.15"/>
    <row r="719" ht="15.75" customHeight="1" x14ac:dyDescent="0.15"/>
    <row r="720" ht="15.75" customHeight="1" x14ac:dyDescent="0.15"/>
    <row r="721" ht="15.75" customHeight="1" x14ac:dyDescent="0.15"/>
    <row r="722" ht="15.75" customHeight="1" x14ac:dyDescent="0.15"/>
    <row r="723" ht="15.75" customHeight="1" x14ac:dyDescent="0.15"/>
    <row r="724" ht="15.75" customHeight="1" x14ac:dyDescent="0.15"/>
    <row r="725" ht="15.75" customHeight="1" x14ac:dyDescent="0.15"/>
    <row r="726" ht="15.75" customHeight="1" x14ac:dyDescent="0.15"/>
    <row r="727" ht="15.75" customHeight="1" x14ac:dyDescent="0.15"/>
    <row r="728" ht="15.75" customHeight="1" x14ac:dyDescent="0.15"/>
    <row r="729" ht="15.75" customHeight="1" x14ac:dyDescent="0.15"/>
    <row r="730" ht="15.75" customHeight="1" x14ac:dyDescent="0.15"/>
    <row r="731" ht="15.75" customHeight="1" x14ac:dyDescent="0.15"/>
    <row r="732" ht="15.75" customHeight="1" x14ac:dyDescent="0.15"/>
    <row r="733" ht="15.75" customHeight="1" x14ac:dyDescent="0.15"/>
    <row r="734" ht="15.75" customHeight="1" x14ac:dyDescent="0.15"/>
    <row r="735" ht="15.75" customHeight="1" x14ac:dyDescent="0.15"/>
    <row r="736" ht="15.75" customHeight="1" x14ac:dyDescent="0.15"/>
    <row r="737" ht="15.75" customHeight="1" x14ac:dyDescent="0.15"/>
    <row r="738" ht="15.75" customHeight="1" x14ac:dyDescent="0.15"/>
    <row r="739" ht="15.75" customHeight="1" x14ac:dyDescent="0.15"/>
    <row r="740" ht="15.75" customHeight="1" x14ac:dyDescent="0.15"/>
    <row r="741" ht="15.75" customHeight="1" x14ac:dyDescent="0.15"/>
    <row r="742" ht="15.75" customHeight="1" x14ac:dyDescent="0.15"/>
    <row r="743" ht="15.75" customHeight="1" x14ac:dyDescent="0.15"/>
    <row r="744" ht="15.75" customHeight="1" x14ac:dyDescent="0.15"/>
    <row r="745" ht="15.75" customHeight="1" x14ac:dyDescent="0.15"/>
    <row r="746" ht="15.75" customHeight="1" x14ac:dyDescent="0.15"/>
    <row r="747" ht="15.75" customHeight="1" x14ac:dyDescent="0.15"/>
    <row r="748" ht="15.75" customHeight="1" x14ac:dyDescent="0.15"/>
    <row r="749" ht="15.75" customHeight="1" x14ac:dyDescent="0.15"/>
    <row r="750" ht="15.75" customHeight="1" x14ac:dyDescent="0.15"/>
    <row r="751" ht="15.75" customHeight="1" x14ac:dyDescent="0.15"/>
    <row r="752" ht="15.75" customHeight="1" x14ac:dyDescent="0.15"/>
    <row r="753" ht="15.75" customHeight="1" x14ac:dyDescent="0.15"/>
    <row r="754" ht="15.75" customHeight="1" x14ac:dyDescent="0.15"/>
    <row r="755" ht="15.75" customHeight="1" x14ac:dyDescent="0.15"/>
    <row r="756" ht="15.75" customHeight="1" x14ac:dyDescent="0.15"/>
    <row r="757" ht="15.75" customHeight="1" x14ac:dyDescent="0.15"/>
    <row r="758" ht="15.75" customHeight="1" x14ac:dyDescent="0.15"/>
    <row r="759" ht="15.75" customHeight="1" x14ac:dyDescent="0.15"/>
    <row r="760" ht="15.75" customHeight="1" x14ac:dyDescent="0.15"/>
    <row r="761" ht="15.75" customHeight="1" x14ac:dyDescent="0.15"/>
    <row r="762" ht="15.75" customHeight="1" x14ac:dyDescent="0.15"/>
    <row r="763" ht="15.75" customHeight="1" x14ac:dyDescent="0.15"/>
    <row r="764" ht="15.75" customHeight="1" x14ac:dyDescent="0.15"/>
    <row r="765" ht="15.75" customHeight="1" x14ac:dyDescent="0.15"/>
    <row r="766" ht="15.75" customHeight="1" x14ac:dyDescent="0.15"/>
    <row r="767" ht="15.75" customHeight="1" x14ac:dyDescent="0.15"/>
    <row r="768" ht="15.75" customHeight="1" x14ac:dyDescent="0.15"/>
    <row r="769" ht="15.75" customHeight="1" x14ac:dyDescent="0.15"/>
    <row r="770" ht="15.75" customHeight="1" x14ac:dyDescent="0.15"/>
    <row r="771" ht="15.75" customHeight="1" x14ac:dyDescent="0.15"/>
    <row r="772" ht="15.75" customHeight="1" x14ac:dyDescent="0.15"/>
    <row r="773" ht="15.75" customHeight="1" x14ac:dyDescent="0.15"/>
    <row r="774" ht="15.75" customHeight="1" x14ac:dyDescent="0.15"/>
    <row r="775" ht="15.75" customHeight="1" x14ac:dyDescent="0.15"/>
    <row r="776" ht="15.75" customHeight="1" x14ac:dyDescent="0.15"/>
    <row r="777" ht="15.75" customHeight="1" x14ac:dyDescent="0.15"/>
    <row r="778" ht="15.75" customHeight="1" x14ac:dyDescent="0.15"/>
    <row r="779" ht="15.75" customHeight="1" x14ac:dyDescent="0.15"/>
    <row r="780" ht="15.75" customHeight="1" x14ac:dyDescent="0.15"/>
    <row r="781" ht="15.75" customHeight="1" x14ac:dyDescent="0.15"/>
    <row r="782" ht="15.75" customHeight="1" x14ac:dyDescent="0.15"/>
    <row r="783" ht="15.75" customHeight="1" x14ac:dyDescent="0.15"/>
    <row r="784" ht="15.75" customHeight="1" x14ac:dyDescent="0.15"/>
    <row r="785" ht="15.75" customHeight="1" x14ac:dyDescent="0.15"/>
    <row r="786" ht="15.75" customHeight="1" x14ac:dyDescent="0.15"/>
    <row r="787" ht="15.75" customHeight="1" x14ac:dyDescent="0.15"/>
    <row r="788" ht="15.75" customHeight="1" x14ac:dyDescent="0.15"/>
    <row r="789" ht="15.75" customHeight="1" x14ac:dyDescent="0.15"/>
    <row r="790" ht="15.75" customHeight="1" x14ac:dyDescent="0.15"/>
    <row r="791" ht="15.75" customHeight="1" x14ac:dyDescent="0.15"/>
    <row r="792" ht="15.75" customHeight="1" x14ac:dyDescent="0.15"/>
    <row r="793" ht="15.75" customHeight="1" x14ac:dyDescent="0.15"/>
    <row r="794" ht="15.75" customHeight="1" x14ac:dyDescent="0.15"/>
    <row r="795" ht="15.75" customHeight="1" x14ac:dyDescent="0.15"/>
    <row r="796" ht="15.75" customHeight="1" x14ac:dyDescent="0.15"/>
    <row r="797" ht="15.75" customHeight="1" x14ac:dyDescent="0.15"/>
    <row r="798" ht="15.75" customHeight="1" x14ac:dyDescent="0.15"/>
    <row r="799" ht="15.75" customHeight="1" x14ac:dyDescent="0.15"/>
    <row r="800" ht="15.75" customHeight="1" x14ac:dyDescent="0.15"/>
    <row r="801" ht="15.75" customHeight="1" x14ac:dyDescent="0.15"/>
    <row r="802" ht="15.75" customHeight="1" x14ac:dyDescent="0.15"/>
    <row r="803" ht="15.75" customHeight="1" x14ac:dyDescent="0.15"/>
    <row r="804" ht="15.75" customHeight="1" x14ac:dyDescent="0.15"/>
    <row r="805" ht="15.75" customHeight="1" x14ac:dyDescent="0.15"/>
    <row r="806" ht="15.75" customHeight="1" x14ac:dyDescent="0.15"/>
    <row r="807" ht="15.75" customHeight="1" x14ac:dyDescent="0.15"/>
    <row r="808" ht="15.75" customHeight="1" x14ac:dyDescent="0.15"/>
    <row r="809" ht="15.75" customHeight="1" x14ac:dyDescent="0.15"/>
    <row r="810" ht="15.75" customHeight="1" x14ac:dyDescent="0.15"/>
    <row r="811" ht="15.75" customHeight="1" x14ac:dyDescent="0.15"/>
    <row r="812" ht="15.75" customHeight="1" x14ac:dyDescent="0.15"/>
    <row r="813" ht="15.75" customHeight="1" x14ac:dyDescent="0.15"/>
    <row r="814" ht="15.75" customHeight="1" x14ac:dyDescent="0.15"/>
    <row r="815" ht="15.75" customHeight="1" x14ac:dyDescent="0.15"/>
    <row r="816" ht="15.75" customHeight="1" x14ac:dyDescent="0.15"/>
    <row r="817" ht="15.75" customHeight="1" x14ac:dyDescent="0.15"/>
    <row r="818" ht="15.75" customHeight="1" x14ac:dyDescent="0.15"/>
    <row r="819" ht="15.75" customHeight="1" x14ac:dyDescent="0.15"/>
    <row r="820" ht="15.75" customHeight="1" x14ac:dyDescent="0.15"/>
    <row r="821" ht="15.75" customHeight="1" x14ac:dyDescent="0.15"/>
    <row r="822" ht="15.75" customHeight="1" x14ac:dyDescent="0.15"/>
    <row r="823" ht="15.75" customHeight="1" x14ac:dyDescent="0.15"/>
    <row r="824" ht="15.75" customHeight="1" x14ac:dyDescent="0.15"/>
    <row r="825" ht="15.75" customHeight="1" x14ac:dyDescent="0.15"/>
    <row r="826" ht="15.75" customHeight="1" x14ac:dyDescent="0.15"/>
    <row r="827" ht="15.75" customHeight="1" x14ac:dyDescent="0.15"/>
    <row r="828" ht="15.75" customHeight="1" x14ac:dyDescent="0.15"/>
    <row r="829" ht="15.75" customHeight="1" x14ac:dyDescent="0.15"/>
    <row r="830" ht="15.75" customHeight="1" x14ac:dyDescent="0.15"/>
    <row r="831" ht="15.75" customHeight="1" x14ac:dyDescent="0.15"/>
    <row r="832" ht="15.75" customHeight="1" x14ac:dyDescent="0.15"/>
    <row r="833" ht="15.75" customHeight="1" x14ac:dyDescent="0.15"/>
    <row r="834" ht="15.75" customHeight="1" x14ac:dyDescent="0.15"/>
    <row r="835" ht="15.75" customHeight="1" x14ac:dyDescent="0.15"/>
    <row r="836" ht="15.75" customHeight="1" x14ac:dyDescent="0.15"/>
    <row r="837" ht="15.75" customHeight="1" x14ac:dyDescent="0.15"/>
    <row r="838" ht="15.75" customHeight="1" x14ac:dyDescent="0.15"/>
    <row r="839" ht="15.75" customHeight="1" x14ac:dyDescent="0.15"/>
    <row r="840" ht="15.75" customHeight="1" x14ac:dyDescent="0.15"/>
    <row r="841" ht="15.75" customHeight="1" x14ac:dyDescent="0.15"/>
    <row r="842" ht="15.75" customHeight="1" x14ac:dyDescent="0.15"/>
    <row r="843" ht="15.75" customHeight="1" x14ac:dyDescent="0.15"/>
    <row r="844" ht="15.75" customHeight="1" x14ac:dyDescent="0.15"/>
    <row r="845" ht="15.75" customHeight="1" x14ac:dyDescent="0.15"/>
    <row r="846" ht="15.75" customHeight="1" x14ac:dyDescent="0.15"/>
    <row r="847" ht="15.75" customHeight="1" x14ac:dyDescent="0.15"/>
    <row r="848" ht="15.75" customHeight="1" x14ac:dyDescent="0.15"/>
    <row r="849" ht="15.75" customHeight="1" x14ac:dyDescent="0.15"/>
    <row r="850" ht="15.75" customHeight="1" x14ac:dyDescent="0.15"/>
    <row r="851" ht="15.75" customHeight="1" x14ac:dyDescent="0.15"/>
    <row r="852" ht="15.75" customHeight="1" x14ac:dyDescent="0.15"/>
    <row r="853" ht="15.75" customHeight="1" x14ac:dyDescent="0.15"/>
    <row r="854" ht="15.75" customHeight="1" x14ac:dyDescent="0.15"/>
    <row r="855" ht="15.75" customHeight="1" x14ac:dyDescent="0.15"/>
    <row r="856" ht="15.75" customHeight="1" x14ac:dyDescent="0.15"/>
    <row r="857" ht="15.75" customHeight="1" x14ac:dyDescent="0.15"/>
    <row r="858" ht="15.75" customHeight="1" x14ac:dyDescent="0.15"/>
    <row r="859" ht="15.75" customHeight="1" x14ac:dyDescent="0.15"/>
    <row r="860" ht="15.75" customHeight="1" x14ac:dyDescent="0.15"/>
    <row r="861" ht="15.75" customHeight="1" x14ac:dyDescent="0.15"/>
    <row r="862" ht="15.75" customHeight="1" x14ac:dyDescent="0.15"/>
    <row r="863" ht="15.75" customHeight="1" x14ac:dyDescent="0.15"/>
    <row r="864" ht="15.75" customHeight="1" x14ac:dyDescent="0.15"/>
    <row r="865" ht="15.75" customHeight="1" x14ac:dyDescent="0.15"/>
    <row r="866" ht="15.75" customHeight="1" x14ac:dyDescent="0.15"/>
    <row r="867" ht="15.75" customHeight="1" x14ac:dyDescent="0.15"/>
    <row r="868" ht="15.75" customHeight="1" x14ac:dyDescent="0.15"/>
    <row r="869" ht="15.75" customHeight="1" x14ac:dyDescent="0.15"/>
    <row r="870" ht="15.75" customHeight="1" x14ac:dyDescent="0.15"/>
    <row r="871" ht="15.75" customHeight="1" x14ac:dyDescent="0.15"/>
    <row r="872" ht="15.75" customHeight="1" x14ac:dyDescent="0.15"/>
    <row r="873" ht="15.75" customHeight="1" x14ac:dyDescent="0.15"/>
    <row r="874" ht="15.75" customHeight="1" x14ac:dyDescent="0.15"/>
    <row r="875" ht="15.75" customHeight="1" x14ac:dyDescent="0.15"/>
    <row r="876" ht="15.75" customHeight="1" x14ac:dyDescent="0.15"/>
    <row r="877" ht="15.75" customHeight="1" x14ac:dyDescent="0.15"/>
    <row r="878" ht="15.75" customHeight="1" x14ac:dyDescent="0.15"/>
    <row r="879" ht="15.75" customHeight="1" x14ac:dyDescent="0.15"/>
    <row r="880" ht="15.75" customHeight="1" x14ac:dyDescent="0.15"/>
    <row r="881" ht="15.75" customHeight="1" x14ac:dyDescent="0.15"/>
    <row r="882" ht="15.75" customHeight="1" x14ac:dyDescent="0.15"/>
    <row r="883" ht="15.75" customHeight="1" x14ac:dyDescent="0.15"/>
    <row r="884" ht="15.75" customHeight="1" x14ac:dyDescent="0.15"/>
    <row r="885" ht="15.75" customHeight="1" x14ac:dyDescent="0.15"/>
    <row r="886" ht="15.75" customHeight="1" x14ac:dyDescent="0.15"/>
    <row r="887" ht="15.75" customHeight="1" x14ac:dyDescent="0.15"/>
    <row r="888" ht="15.75" customHeight="1" x14ac:dyDescent="0.15"/>
    <row r="889" ht="15.75" customHeight="1" x14ac:dyDescent="0.15"/>
    <row r="890" ht="15.75" customHeight="1" x14ac:dyDescent="0.15"/>
    <row r="891" ht="15.75" customHeight="1" x14ac:dyDescent="0.15"/>
    <row r="892" ht="15.75" customHeight="1" x14ac:dyDescent="0.15"/>
    <row r="893" ht="15.75" customHeight="1" x14ac:dyDescent="0.15"/>
    <row r="894" ht="15.75" customHeight="1" x14ac:dyDescent="0.15"/>
    <row r="895" ht="15.75" customHeight="1" x14ac:dyDescent="0.15"/>
    <row r="896" ht="15.75" customHeight="1" x14ac:dyDescent="0.15"/>
    <row r="897" ht="15.75" customHeight="1" x14ac:dyDescent="0.15"/>
    <row r="898" ht="15.75" customHeight="1" x14ac:dyDescent="0.15"/>
    <row r="899" ht="15.75" customHeight="1" x14ac:dyDescent="0.15"/>
    <row r="900" ht="15.75" customHeight="1" x14ac:dyDescent="0.15"/>
    <row r="901" ht="15.75" customHeight="1" x14ac:dyDescent="0.15"/>
    <row r="902" ht="15.75" customHeight="1" x14ac:dyDescent="0.15"/>
    <row r="903" ht="15.75" customHeight="1" x14ac:dyDescent="0.15"/>
    <row r="904" ht="15.75" customHeight="1" x14ac:dyDescent="0.15"/>
    <row r="905" ht="15.75" customHeight="1" x14ac:dyDescent="0.15"/>
    <row r="906" ht="15.75" customHeight="1" x14ac:dyDescent="0.15"/>
    <row r="907" ht="15.75" customHeight="1" x14ac:dyDescent="0.15"/>
    <row r="908" ht="15.75" customHeight="1" x14ac:dyDescent="0.15"/>
    <row r="909" ht="15.75" customHeight="1" x14ac:dyDescent="0.15"/>
    <row r="910" ht="15.75" customHeight="1" x14ac:dyDescent="0.15"/>
    <row r="911" ht="15.75" customHeight="1" x14ac:dyDescent="0.15"/>
    <row r="912" ht="15.75" customHeight="1" x14ac:dyDescent="0.15"/>
    <row r="913" ht="15.75" customHeight="1" x14ac:dyDescent="0.15"/>
    <row r="914" ht="15.75" customHeight="1" x14ac:dyDescent="0.15"/>
    <row r="915" ht="15.75" customHeight="1" x14ac:dyDescent="0.15"/>
    <row r="916" ht="15.75" customHeight="1" x14ac:dyDescent="0.15"/>
    <row r="917" ht="15.75" customHeight="1" x14ac:dyDescent="0.15"/>
    <row r="918" ht="15.75" customHeight="1" x14ac:dyDescent="0.15"/>
    <row r="919" ht="15.75" customHeight="1" x14ac:dyDescent="0.15"/>
    <row r="920" ht="15.75" customHeight="1" x14ac:dyDescent="0.15"/>
    <row r="921" ht="15.75" customHeight="1" x14ac:dyDescent="0.15"/>
    <row r="922" ht="15.75" customHeight="1" x14ac:dyDescent="0.15"/>
    <row r="923" ht="15.75" customHeight="1" x14ac:dyDescent="0.15"/>
    <row r="924" ht="15.75" customHeight="1" x14ac:dyDescent="0.15"/>
    <row r="925" ht="15.75" customHeight="1" x14ac:dyDescent="0.15"/>
    <row r="926" ht="15.75" customHeight="1" x14ac:dyDescent="0.15"/>
    <row r="927" ht="15.75" customHeight="1" x14ac:dyDescent="0.15"/>
    <row r="928" ht="15.75" customHeight="1" x14ac:dyDescent="0.15"/>
    <row r="929" ht="15.75" customHeight="1" x14ac:dyDescent="0.15"/>
    <row r="930" ht="15.75" customHeight="1" x14ac:dyDescent="0.15"/>
    <row r="931" ht="15.75" customHeight="1" x14ac:dyDescent="0.15"/>
    <row r="932" ht="15.75" customHeight="1" x14ac:dyDescent="0.15"/>
    <row r="933" ht="15.75" customHeight="1" x14ac:dyDescent="0.15"/>
    <row r="934" ht="15.75" customHeight="1" x14ac:dyDescent="0.15"/>
    <row r="935" ht="15.75" customHeight="1" x14ac:dyDescent="0.15"/>
    <row r="936" ht="15.75" customHeight="1" x14ac:dyDescent="0.15"/>
    <row r="937" ht="15.75" customHeight="1" x14ac:dyDescent="0.15"/>
    <row r="938" ht="15.75" customHeight="1" x14ac:dyDescent="0.15"/>
    <row r="939" ht="15.75" customHeight="1" x14ac:dyDescent="0.15"/>
    <row r="940" ht="15.75" customHeight="1" x14ac:dyDescent="0.15"/>
    <row r="941" ht="15.75" customHeight="1" x14ac:dyDescent="0.15"/>
    <row r="942" ht="15.75" customHeight="1" x14ac:dyDescent="0.15"/>
    <row r="943" ht="15.75" customHeight="1" x14ac:dyDescent="0.15"/>
    <row r="944" ht="15.75" customHeight="1" x14ac:dyDescent="0.15"/>
    <row r="945" ht="15.75" customHeight="1" x14ac:dyDescent="0.15"/>
    <row r="946" ht="15.75" customHeight="1" x14ac:dyDescent="0.15"/>
    <row r="947" ht="15.75" customHeight="1" x14ac:dyDescent="0.15"/>
    <row r="948" ht="15.75" customHeight="1" x14ac:dyDescent="0.15"/>
    <row r="949" ht="15.75" customHeight="1" x14ac:dyDescent="0.15"/>
    <row r="950" ht="15.75" customHeight="1" x14ac:dyDescent="0.15"/>
    <row r="951" ht="15.75" customHeight="1" x14ac:dyDescent="0.15"/>
    <row r="952" ht="15.75" customHeight="1" x14ac:dyDescent="0.15"/>
    <row r="953" ht="15.75" customHeight="1" x14ac:dyDescent="0.15"/>
    <row r="954" ht="15.75" customHeight="1" x14ac:dyDescent="0.15"/>
    <row r="955" ht="15.75" customHeight="1" x14ac:dyDescent="0.15"/>
    <row r="956" ht="15.75" customHeight="1" x14ac:dyDescent="0.15"/>
    <row r="957" ht="15.75" customHeight="1" x14ac:dyDescent="0.15"/>
    <row r="958" ht="15.75" customHeight="1" x14ac:dyDescent="0.15"/>
    <row r="959" ht="15.75" customHeight="1" x14ac:dyDescent="0.15"/>
    <row r="960" ht="15.75" customHeight="1" x14ac:dyDescent="0.15"/>
    <row r="961" ht="15.75" customHeight="1" x14ac:dyDescent="0.15"/>
    <row r="962" ht="15.75" customHeight="1" x14ac:dyDescent="0.15"/>
    <row r="963" ht="15.75" customHeight="1" x14ac:dyDescent="0.15"/>
    <row r="964" ht="15.75" customHeight="1" x14ac:dyDescent="0.15"/>
    <row r="965" ht="15.75" customHeight="1" x14ac:dyDescent="0.15"/>
    <row r="966" ht="15.75" customHeight="1" x14ac:dyDescent="0.15"/>
    <row r="967" ht="15.75" customHeight="1" x14ac:dyDescent="0.15"/>
    <row r="968" ht="15.75" customHeight="1" x14ac:dyDescent="0.15"/>
    <row r="969" ht="15.75" customHeight="1" x14ac:dyDescent="0.15"/>
    <row r="970" ht="15.75" customHeight="1" x14ac:dyDescent="0.15"/>
    <row r="971" ht="15.75" customHeight="1" x14ac:dyDescent="0.15"/>
    <row r="972" ht="15.75" customHeight="1" x14ac:dyDescent="0.15"/>
    <row r="973" ht="15.75" customHeight="1" x14ac:dyDescent="0.15"/>
    <row r="974" ht="15.75" customHeight="1" x14ac:dyDescent="0.15"/>
    <row r="975" ht="15.75" customHeight="1" x14ac:dyDescent="0.15"/>
    <row r="976" ht="15.75" customHeight="1" x14ac:dyDescent="0.15"/>
    <row r="977" ht="15.75" customHeight="1" x14ac:dyDescent="0.15"/>
    <row r="978" ht="15.75" customHeight="1" x14ac:dyDescent="0.15"/>
    <row r="979" ht="15.75" customHeight="1" x14ac:dyDescent="0.15"/>
    <row r="980" ht="15.75" customHeight="1" x14ac:dyDescent="0.15"/>
    <row r="981" ht="15.75" customHeight="1" x14ac:dyDescent="0.15"/>
    <row r="982" ht="15.75" customHeight="1" x14ac:dyDescent="0.15"/>
    <row r="983" ht="15.75" customHeight="1" x14ac:dyDescent="0.15"/>
    <row r="984" ht="15.75" customHeight="1" x14ac:dyDescent="0.15"/>
    <row r="985" ht="15.75" customHeight="1" x14ac:dyDescent="0.15"/>
    <row r="986" ht="15.75" customHeight="1" x14ac:dyDescent="0.15"/>
    <row r="987" ht="15.75" customHeight="1" x14ac:dyDescent="0.15"/>
    <row r="988" ht="15.75" customHeight="1" x14ac:dyDescent="0.15"/>
    <row r="989" ht="15.75" customHeight="1" x14ac:dyDescent="0.15"/>
    <row r="990" ht="15.75" customHeight="1" x14ac:dyDescent="0.15"/>
    <row r="991" ht="15.75" customHeight="1" x14ac:dyDescent="0.15"/>
    <row r="992" ht="15.75" customHeight="1" x14ac:dyDescent="0.15"/>
    <row r="993" ht="15.75" customHeight="1" x14ac:dyDescent="0.15"/>
    <row r="994" ht="15.75" customHeight="1" x14ac:dyDescent="0.15"/>
    <row r="995" ht="15.75" customHeight="1" x14ac:dyDescent="0.15"/>
    <row r="996" ht="15.75" customHeight="1" x14ac:dyDescent="0.15"/>
    <row r="997" ht="15.75" customHeight="1" x14ac:dyDescent="0.15"/>
    <row r="998" ht="15.75" customHeight="1" x14ac:dyDescent="0.15"/>
    <row r="999" ht="15.75" customHeight="1" x14ac:dyDescent="0.15"/>
    <row r="1000" ht="15.75" customHeight="1" x14ac:dyDescent="0.15"/>
  </sheetData>
  <mergeCells count="3">
    <mergeCell ref="J2:N2"/>
    <mergeCell ref="O2:Q2"/>
    <mergeCell ref="T2:U2"/>
  </mergeCells>
  <pageMargins left="0.7" right="0.7" top="0.75" bottom="0.75" header="0.3" footer="0.3"/>
  <drawing r:id="rId1"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All samples</vt:lpstr>
      <vt:lpstr>Resistance</vt:lpstr>
      <vt:lpstr>Batch 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Guest User</cp:lastModifiedBy>
  <dcterms:created xsi:type="dcterms:W3CDTF">2024-06-10T22:11:13Z</dcterms:created>
  <dcterms:modified xsi:type="dcterms:W3CDTF">2024-09-03T22:47:17Z</dcterms:modified>
</cp:coreProperties>
</file>